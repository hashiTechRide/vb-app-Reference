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概要" sheetId="1" state="visible" r:id="rId3"/>
    <sheet name="問題一覧" sheetId="2" state="visible" r:id="rId4"/>
    <sheet name="再出題一覧" sheetId="3" state="visible" r:id="rId5"/>
    <sheet name="分野別" sheetId="4" state="visible" r:id="rId6"/>
    <sheet name="出題予想" sheetId="5" state="visible" r:id="rId7"/>
    <sheet name="用語一覧" sheetId="6" state="visible" r:id="rId8"/>
    <sheet name="回別内訳" sheetId="7" state="visible" r:id="rId9"/>
    <sheet name="再出題の間隔" sheetId="8" state="visible" r:id="rId10"/>
    <sheet name="回どうしの重なり" sheetId="9" state="visible" r:id="rId11"/>
    <sheet name="過去問のカバー数" sheetId="10" state="visible" r:id="rId12"/>
  </sheets>
  <definedNames>
    <definedName function="false" hidden="true" localSheetId="2" name="_xlnm._FilterDatabase" vbProcedure="false">再出題一覧!$A$4:$F$49</definedName>
    <definedName function="false" hidden="true" localSheetId="1" name="_xlnm._FilterDatabase" vbProcedure="false">問題一覧!$A$4:$E$254</definedName>
    <definedName function="false" hidden="true" localSheetId="5" name="_xlnm._FilterDatabase" vbProcedure="false">用語一覧!$A$4:$I$95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<sst xmlns="http://schemas.openxmlformats.org/spreadsheetml/2006/main" count="1141" uniqueCount="376">
  <si>
    <r>
      <rPr>
        <b val="true"/>
        <sz val="14"/>
        <rFont val="Noto Sans CJK SC"/>
        <family val="2"/>
      </rPr>
      <t xml:space="preserve">システムアーキテクト午前</t>
    </r>
    <r>
      <rPr>
        <b val="true"/>
        <sz val="14"/>
        <rFont val="Arial"/>
        <family val="0"/>
        <charset val="1"/>
      </rPr>
      <t xml:space="preserve">II </t>
    </r>
    <r>
      <rPr>
        <b val="true"/>
        <sz val="14"/>
        <rFont val="Noto Sans CJK SC"/>
        <family val="2"/>
      </rPr>
      <t xml:space="preserve">過去問分析</t>
    </r>
  </si>
  <si>
    <r>
      <rPr>
        <sz val="9"/>
        <color rgb="FF595959"/>
        <rFont val="Noto Sans CJK SC"/>
        <family val="2"/>
      </rPr>
      <t xml:space="preserve">午前</t>
    </r>
    <r>
      <rPr>
        <sz val="9"/>
        <color rgb="FF595959"/>
        <rFont val="Arial"/>
        <family val="0"/>
        <charset val="1"/>
      </rPr>
      <t xml:space="preserve">II 10</t>
    </r>
    <r>
      <rPr>
        <sz val="9"/>
        <color rgb="FF595959"/>
        <rFont val="Noto Sans CJK SC"/>
        <family val="2"/>
      </rPr>
      <t xml:space="preserve">回分</t>
    </r>
    <r>
      <rPr>
        <sz val="9"/>
        <color rgb="FF595959"/>
        <rFont val="Arial"/>
        <family val="0"/>
        <charset val="1"/>
      </rPr>
      <t xml:space="preserve">(2015</t>
    </r>
    <r>
      <rPr>
        <sz val="9"/>
        <color rgb="FF595959"/>
        <rFont val="Noto Sans CJK SC"/>
        <family val="2"/>
      </rPr>
      <t xml:space="preserve">〜</t>
    </r>
    <r>
      <rPr>
        <sz val="9"/>
        <color rgb="FF595959"/>
        <rFont val="Arial"/>
        <family val="0"/>
        <charset val="1"/>
      </rPr>
      <t xml:space="preserve">2019</t>
    </r>
    <r>
      <rPr>
        <sz val="9"/>
        <color rgb="FF595959"/>
        <rFont val="Noto Sans CJK SC"/>
        <family val="2"/>
      </rPr>
      <t xml:space="preserve">年・</t>
    </r>
    <r>
      <rPr>
        <sz val="9"/>
        <color rgb="FF595959"/>
        <rFont val="Arial"/>
        <family val="0"/>
        <charset val="1"/>
      </rPr>
      <t xml:space="preserve">2021</t>
    </r>
    <r>
      <rPr>
        <sz val="9"/>
        <color rgb="FF595959"/>
        <rFont val="Noto Sans CJK SC"/>
        <family val="2"/>
      </rPr>
      <t xml:space="preserve">〜</t>
    </r>
    <r>
      <rPr>
        <sz val="9"/>
        <color rgb="FF595959"/>
        <rFont val="Arial"/>
        <family val="0"/>
        <charset val="1"/>
      </rPr>
      <t xml:space="preserve">2025</t>
    </r>
    <r>
      <rPr>
        <sz val="9"/>
        <color rgb="FF595959"/>
        <rFont val="Noto Sans CJK SC"/>
        <family val="2"/>
      </rPr>
      <t xml:space="preserve">年</t>
    </r>
    <r>
      <rPr>
        <sz val="9"/>
        <color rgb="FF595959"/>
        <rFont val="Arial"/>
        <family val="0"/>
        <charset val="1"/>
      </rPr>
      <t xml:space="preserve">)</t>
    </r>
    <r>
      <rPr>
        <sz val="9"/>
        <color rgb="FF595959"/>
        <rFont val="Noto Sans CJK SC"/>
        <family val="2"/>
      </rPr>
      <t xml:space="preserve">の問題冊子を文字認識で取り込んだ分析です。</t>
    </r>
  </si>
  <si>
    <t xml:space="preserve">項目</t>
  </si>
  <si>
    <t xml:space="preserve">値</t>
  </si>
  <si>
    <t xml:space="preserve">説明</t>
  </si>
  <si>
    <t xml:space="preserve">分析した問題数</t>
  </si>
  <si>
    <r>
      <rPr>
        <sz val="10"/>
        <rFont val="Noto Sans CJK SC"/>
        <family val="2"/>
      </rPr>
      <t xml:space="preserve">午前</t>
    </r>
    <r>
      <rPr>
        <sz val="10"/>
        <rFont val="Arial"/>
        <family val="0"/>
        <charset val="1"/>
      </rPr>
      <t xml:space="preserve">II</t>
    </r>
    <r>
      <rPr>
        <sz val="10"/>
        <rFont val="Noto Sans CJK SC"/>
        <family val="2"/>
      </rPr>
      <t xml:space="preserve">全回の合計</t>
    </r>
  </si>
  <si>
    <t xml:space="preserve">試験回数</t>
  </si>
  <si>
    <r>
      <rPr>
        <sz val="10"/>
        <rFont val="Noto Sans CJK SC"/>
        <family val="2"/>
      </rPr>
      <t xml:space="preserve">実施された回の数</t>
    </r>
    <r>
      <rPr>
        <sz val="10"/>
        <rFont val="Arial"/>
        <family val="0"/>
        <charset val="1"/>
      </rPr>
      <t xml:space="preserve">(</t>
    </r>
    <r>
      <rPr>
        <sz val="10"/>
        <rFont val="Noto Sans CJK SC"/>
        <family val="2"/>
      </rPr>
      <t xml:space="preserve">入力値</t>
    </r>
    <r>
      <rPr>
        <sz val="10"/>
        <rFont val="Arial"/>
        <family val="0"/>
        <charset val="1"/>
      </rPr>
      <t xml:space="preserve">: 2020</t>
    </r>
    <r>
      <rPr>
        <sz val="10"/>
        <rFont val="Noto Sans CJK SC"/>
        <family val="2"/>
      </rPr>
      <t xml:space="preserve">年は試験がないため除く</t>
    </r>
    <r>
      <rPr>
        <sz val="10"/>
        <rFont val="Arial"/>
        <family val="0"/>
        <charset val="1"/>
      </rPr>
      <t xml:space="preserve">)</t>
    </r>
  </si>
  <si>
    <t xml:space="preserve">同じ問題が複数回出た問題数</t>
  </si>
  <si>
    <t xml:space="preserve">他の回にも同一問題がある問題</t>
  </si>
  <si>
    <t xml:space="preserve">同一問題の組の数</t>
  </si>
  <si>
    <t xml:space="preserve">同じ設問が繰り返された組</t>
  </si>
  <si>
    <t xml:space="preserve">重複を除いた問題数</t>
  </si>
  <si>
    <r>
      <rPr>
        <sz val="10"/>
        <rFont val="Noto Sans CJK SC"/>
        <family val="2"/>
      </rPr>
      <t xml:space="preserve">同一問題を</t>
    </r>
    <r>
      <rPr>
        <sz val="10"/>
        <rFont val="Arial"/>
        <family val="0"/>
        <charset val="1"/>
      </rPr>
      <t xml:space="preserve">1</t>
    </r>
    <r>
      <rPr>
        <sz val="10"/>
        <rFont val="Noto Sans CJK SC"/>
        <family val="2"/>
      </rPr>
      <t xml:space="preserve">つと数えた場合</t>
    </r>
  </si>
  <si>
    <t xml:space="preserve">再出題された問題の割合</t>
  </si>
  <si>
    <t xml:space="preserve">全問題に占める割合</t>
  </si>
  <si>
    <t xml:space="preserve">翌回に再出題された組数</t>
  </si>
  <si>
    <r>
      <rPr>
        <sz val="10"/>
        <rFont val="Noto Sans CJK SC"/>
        <family val="2"/>
      </rPr>
      <t xml:space="preserve">連続する</t>
    </r>
    <r>
      <rPr>
        <sz val="10"/>
        <rFont val="Arial"/>
        <family val="0"/>
        <charset val="1"/>
      </rPr>
      <t xml:space="preserve">2</t>
    </r>
    <r>
      <rPr>
        <sz val="10"/>
        <rFont val="Noto Sans CJK SC"/>
        <family val="2"/>
      </rPr>
      <t xml:space="preserve">回で同一問題が出た数</t>
    </r>
    <r>
      <rPr>
        <sz val="10"/>
        <rFont val="Arial"/>
        <family val="0"/>
        <charset val="1"/>
      </rPr>
      <t xml:space="preserve">(0)</t>
    </r>
  </si>
  <si>
    <r>
      <rPr>
        <sz val="10"/>
        <rFont val="Arial"/>
        <family val="0"/>
        <charset val="1"/>
      </rPr>
      <t xml:space="preserve">2</t>
    </r>
    <r>
      <rPr>
        <sz val="10"/>
        <rFont val="Noto Sans CJK SC"/>
        <family val="2"/>
      </rPr>
      <t xml:space="preserve">回後に再出題された組数</t>
    </r>
  </si>
  <si>
    <t xml:space="preserve">最も多い間隔</t>
  </si>
  <si>
    <t xml:space="preserve">読み方</t>
  </si>
  <si>
    <r>
      <rPr>
        <sz val="10"/>
        <rFont val="Noto Sans CJK SC"/>
        <family val="2"/>
      </rPr>
      <t xml:space="preserve">・同じ問題が戻ってくるのは翌回ではなく、</t>
    </r>
    <r>
      <rPr>
        <sz val="10"/>
        <rFont val="Arial"/>
        <family val="0"/>
        <charset val="1"/>
      </rPr>
      <t xml:space="preserve">2</t>
    </r>
    <r>
      <rPr>
        <sz val="10"/>
        <rFont val="Noto Sans CJK SC"/>
        <family val="2"/>
      </rPr>
      <t xml:space="preserve">回後以降です。直前の回の問題は同一問題としては出ない傾向でした。</t>
    </r>
  </si>
  <si>
    <t xml:space="preserve">・同テーマの別設問は直前の回でも出ています。直前の回だけでなく、少し前の回まで過去問を広げるほうが効きます。</t>
  </si>
  <si>
    <r>
      <rPr>
        <sz val="10"/>
        <rFont val="Noto Sans CJK SC"/>
        <family val="2"/>
      </rPr>
      <t xml:space="preserve">・分類は試験要綱の「試験区分別出題分野一覧表」の中分類（</t>
    </r>
    <r>
      <rPr>
        <sz val="10"/>
        <rFont val="Arial"/>
        <family val="0"/>
        <charset val="1"/>
      </rPr>
      <t xml:space="preserve">SA</t>
    </r>
    <r>
      <rPr>
        <sz val="10"/>
        <rFont val="Noto Sans CJK SC"/>
        <family val="2"/>
      </rPr>
      <t xml:space="preserve">の出題範囲</t>
    </r>
    <r>
      <rPr>
        <sz val="10"/>
        <rFont val="Arial"/>
        <family val="0"/>
        <charset val="1"/>
      </rPr>
      <t xml:space="preserve">10</t>
    </r>
    <r>
      <rPr>
        <sz val="10"/>
        <rFont val="Noto Sans CJK SC"/>
        <family val="2"/>
      </rPr>
      <t xml:space="preserve">分野）です。システム開発技術とセキュリティの</t>
    </r>
    <r>
      <rPr>
        <sz val="10"/>
        <rFont val="Arial"/>
        <family val="0"/>
        <charset val="1"/>
      </rPr>
      <t xml:space="preserve">2</t>
    </r>
    <r>
      <rPr>
        <sz val="10"/>
        <rFont val="Noto Sans CJK SC"/>
        <family val="2"/>
      </rPr>
      <t xml:space="preserve">分野で毎回約</t>
    </r>
    <r>
      <rPr>
        <sz val="10"/>
        <rFont val="Arial"/>
        <family val="0"/>
        <charset val="1"/>
      </rPr>
      <t xml:space="preserve">15</t>
    </r>
    <r>
      <rPr>
        <sz val="10"/>
        <rFont val="Noto Sans CJK SC"/>
        <family val="2"/>
      </rPr>
      <t xml:space="preserve">問を占めます。</t>
    </r>
  </si>
  <si>
    <r>
      <rPr>
        <sz val="10"/>
        <rFont val="Noto Sans CJK SC"/>
        <family val="2"/>
      </rPr>
      <t xml:space="preserve">・中分類別の出題数は「分野別」、次回の予想は「出題予想」、覚える用語は「用語一覧」</t>
    </r>
    <r>
      <rPr>
        <sz val="10"/>
        <rFont val="Arial"/>
        <family val="0"/>
        <charset val="1"/>
      </rPr>
      <t xml:space="preserve">(</t>
    </r>
    <r>
      <rPr>
        <sz val="10"/>
        <rFont val="Noto Sans CJK SC"/>
        <family val="2"/>
      </rPr>
      <t xml:space="preserve">優先度</t>
    </r>
    <r>
      <rPr>
        <sz val="10"/>
        <rFont val="Arial"/>
        <family val="0"/>
        <charset val="1"/>
      </rPr>
      <t xml:space="preserve">A→B→C)</t>
    </r>
    <r>
      <rPr>
        <sz val="10"/>
        <rFont val="Noto Sans CJK SC"/>
        <family val="2"/>
      </rPr>
      <t xml:space="preserve">にまとめています。</t>
    </r>
  </si>
  <si>
    <t xml:space="preserve">注意</t>
  </si>
  <si>
    <r>
      <rPr>
        <sz val="10"/>
        <rFont val="Noto Sans CJK SC"/>
        <family val="2"/>
      </rPr>
      <t xml:space="preserve">・問題冊子は画像の</t>
    </r>
    <r>
      <rPr>
        <sz val="10"/>
        <rFont val="Arial"/>
        <family val="0"/>
        <charset val="1"/>
      </rPr>
      <t xml:space="preserve">PDF</t>
    </r>
    <r>
      <rPr>
        <sz val="10"/>
        <rFont val="Noto Sans CJK SC"/>
        <family val="2"/>
      </rPr>
      <t xml:space="preserve">だったため、文字認識の誤りで取りこぼした再出題がある可能性があります。</t>
    </r>
  </si>
  <si>
    <r>
      <rPr>
        <sz val="10"/>
        <rFont val="Noto Sans CJK SC"/>
        <family val="2"/>
      </rPr>
      <t xml:space="preserve">・設問文と選択肢がほぼ一致するものを同一問題、同じ用語分類の別設問を同テーマとしました。各問の中分類は</t>
    </r>
    <r>
      <rPr>
        <sz val="10"/>
        <rFont val="Arial"/>
        <family val="0"/>
        <charset val="1"/>
      </rPr>
      <t xml:space="preserve">IPA</t>
    </r>
    <r>
      <rPr>
        <sz val="10"/>
        <rFont val="Noto Sans CJK SC"/>
        <family val="2"/>
      </rPr>
      <t xml:space="preserve">が公表していないため、出題内容から判断して付けています（要件定義はシステム開発技術とシステム企画の境界が分かれやすい）。</t>
    </r>
  </si>
  <si>
    <t xml:space="preserve">・回別内訳・再出題の間隔・回どうしの重なり・過去問のカバー数は類似度判定の結果を貼り付けた固定値です。</t>
  </si>
  <si>
    <t xml:space="preserve">・応用情報技術者試験の問題との照合は含まれていません。</t>
  </si>
  <si>
    <r>
      <rPr>
        <b val="true"/>
        <sz val="14"/>
        <rFont val="Noto Sans CJK SC"/>
        <family val="2"/>
      </rPr>
      <t xml:space="preserve">全</t>
    </r>
    <r>
      <rPr>
        <b val="true"/>
        <sz val="14"/>
        <rFont val="Arial"/>
        <family val="0"/>
        <charset val="1"/>
      </rPr>
      <t xml:space="preserve">250</t>
    </r>
    <r>
      <rPr>
        <b val="true"/>
        <sz val="14"/>
        <rFont val="Noto Sans CJK SC"/>
        <family val="2"/>
      </rPr>
      <t xml:space="preserve">問の分類</t>
    </r>
    <r>
      <rPr>
        <b val="true"/>
        <sz val="14"/>
        <rFont val="Arial"/>
        <family val="0"/>
        <charset val="1"/>
      </rPr>
      <t xml:space="preserve">(</t>
    </r>
    <r>
      <rPr>
        <b val="true"/>
        <sz val="14"/>
        <rFont val="Noto Sans CJK SC"/>
        <family val="2"/>
      </rPr>
      <t xml:space="preserve">午前</t>
    </r>
    <r>
      <rPr>
        <b val="true"/>
        <sz val="14"/>
        <rFont val="Arial"/>
        <family val="0"/>
        <charset val="1"/>
      </rPr>
      <t xml:space="preserve">II 10</t>
    </r>
    <r>
      <rPr>
        <b val="true"/>
        <sz val="14"/>
        <rFont val="Noto Sans CJK SC"/>
        <family val="2"/>
      </rPr>
      <t xml:space="preserve">回分</t>
    </r>
    <r>
      <rPr>
        <b val="true"/>
        <sz val="14"/>
        <rFont val="Arial"/>
        <family val="0"/>
        <charset val="1"/>
      </rPr>
      <t xml:space="preserve">)</t>
    </r>
  </si>
  <si>
    <r>
      <rPr>
        <sz val="9"/>
        <color rgb="FF595959"/>
        <rFont val="Noto Sans CJK SC"/>
        <family val="2"/>
      </rPr>
      <t xml:space="preserve">年度は問題冊子の年。再出題グループは、同じ設問が複数回出た組の番号</t>
    </r>
    <r>
      <rPr>
        <sz val="9"/>
        <color rgb="FF595959"/>
        <rFont val="Arial"/>
        <family val="0"/>
        <charset val="1"/>
      </rPr>
      <t xml:space="preserve">(</t>
    </r>
    <r>
      <rPr>
        <sz val="9"/>
        <color rgb="FF595959"/>
        <rFont val="Noto Sans CJK SC"/>
        <family val="2"/>
      </rPr>
      <t xml:space="preserve">空欄は単発または同テーマのみ</t>
    </r>
    <r>
      <rPr>
        <sz val="9"/>
        <color rgb="FF595959"/>
        <rFont val="Arial"/>
        <family val="0"/>
        <charset val="1"/>
      </rPr>
      <t xml:space="preserve">)</t>
    </r>
    <r>
      <rPr>
        <sz val="9"/>
        <color rgb="FF595959"/>
        <rFont val="Noto Sans CJK SC"/>
        <family val="2"/>
      </rPr>
      <t xml:space="preserve">。</t>
    </r>
  </si>
  <si>
    <t xml:space="preserve">年</t>
  </si>
  <si>
    <t xml:space="preserve">問番号</t>
  </si>
  <si>
    <t xml:space="preserve">中分類（試験要綱）</t>
  </si>
  <si>
    <t xml:space="preserve">用語・テーマ</t>
  </si>
  <si>
    <t xml:space="preserve">再出題グループ</t>
  </si>
  <si>
    <r>
      <rPr>
        <sz val="10"/>
        <rFont val="Arial"/>
        <family val="0"/>
        <charset val="1"/>
      </rPr>
      <t xml:space="preserve">12 </t>
    </r>
    <r>
      <rPr>
        <sz val="10"/>
        <rFont val="Noto Sans CJK SC"/>
        <family val="2"/>
      </rPr>
      <t xml:space="preserve">システム開発技術</t>
    </r>
  </si>
  <si>
    <t xml:space="preserve">JIS X 0160(SLCP)</t>
  </si>
  <si>
    <t xml:space="preserve">UML</t>
  </si>
  <si>
    <t xml:space="preserve">ユースケース</t>
  </si>
  <si>
    <r>
      <rPr>
        <sz val="10"/>
        <rFont val="Noto Sans CJK SC"/>
        <family val="2"/>
      </rPr>
      <t xml:space="preserve">設計原則</t>
    </r>
    <r>
      <rPr>
        <sz val="10"/>
        <rFont val="Arial"/>
        <family val="0"/>
        <charset val="1"/>
      </rPr>
      <t xml:space="preserve">(SOLID)</t>
    </r>
  </si>
  <si>
    <r>
      <rPr>
        <sz val="10"/>
        <rFont val="Noto Sans CJK SC"/>
        <family val="2"/>
      </rPr>
      <t xml:space="preserve">デザインパターン</t>
    </r>
    <r>
      <rPr>
        <sz val="10"/>
        <rFont val="Arial"/>
        <family val="0"/>
        <charset val="1"/>
      </rPr>
      <t xml:space="preserve">/</t>
    </r>
    <r>
      <rPr>
        <sz val="10"/>
        <rFont val="Noto Sans CJK SC"/>
        <family val="2"/>
      </rPr>
      <t xml:space="preserve">アーキテクチャパターン</t>
    </r>
  </si>
  <si>
    <r>
      <rPr>
        <sz val="10"/>
        <rFont val="Arial"/>
        <family val="0"/>
        <charset val="1"/>
      </rPr>
      <t xml:space="preserve">4 </t>
    </r>
    <r>
      <rPr>
        <sz val="10"/>
        <rFont val="Noto Sans CJK SC"/>
        <family val="2"/>
      </rPr>
      <t xml:space="preserve">システム構成要素</t>
    </r>
  </si>
  <si>
    <t xml:space="preserve">MapReduce</t>
  </si>
  <si>
    <r>
      <rPr>
        <sz val="10"/>
        <rFont val="Noto Sans CJK SC"/>
        <family val="2"/>
      </rPr>
      <t xml:space="preserve">テスト技法</t>
    </r>
    <r>
      <rPr>
        <sz val="10"/>
        <rFont val="Arial"/>
        <family val="0"/>
        <charset val="1"/>
      </rPr>
      <t xml:space="preserve">(</t>
    </r>
    <r>
      <rPr>
        <sz val="10"/>
        <rFont val="Noto Sans CJK SC"/>
        <family val="2"/>
      </rPr>
      <t xml:space="preserve">ブラックボックス</t>
    </r>
    <r>
      <rPr>
        <sz val="10"/>
        <rFont val="Arial"/>
        <family val="0"/>
        <charset val="1"/>
      </rPr>
      <t xml:space="preserve">/</t>
    </r>
    <r>
      <rPr>
        <sz val="10"/>
        <rFont val="Noto Sans CJK SC"/>
        <family val="2"/>
      </rPr>
      <t xml:space="preserve">網羅</t>
    </r>
    <r>
      <rPr>
        <sz val="10"/>
        <rFont val="Arial"/>
        <family val="0"/>
        <charset val="1"/>
      </rPr>
      <t xml:space="preserve">)</t>
    </r>
  </si>
  <si>
    <t xml:space="preserve">検査費用の計算</t>
  </si>
  <si>
    <r>
      <rPr>
        <sz val="10"/>
        <rFont val="Noto Sans CJK SC"/>
        <family val="2"/>
      </rPr>
      <t xml:space="preserve">共通フレーム</t>
    </r>
    <r>
      <rPr>
        <sz val="10"/>
        <rFont val="Arial"/>
        <family val="0"/>
        <charset val="1"/>
      </rPr>
      <t xml:space="preserve">2013</t>
    </r>
  </si>
  <si>
    <t xml:space="preserve">カークパトリックモデル</t>
  </si>
  <si>
    <r>
      <rPr>
        <sz val="10"/>
        <rFont val="Arial"/>
        <family val="0"/>
        <charset val="1"/>
      </rPr>
      <t xml:space="preserve">13 </t>
    </r>
    <r>
      <rPr>
        <sz val="10"/>
        <rFont val="Noto Sans CJK SC"/>
        <family val="2"/>
      </rPr>
      <t xml:space="preserve">ソフトウェア開発管理技術</t>
    </r>
  </si>
  <si>
    <r>
      <rPr>
        <sz val="10"/>
        <rFont val="Noto Sans CJK SC"/>
        <family val="2"/>
      </rPr>
      <t xml:space="preserve">再利用</t>
    </r>
    <r>
      <rPr>
        <sz val="10"/>
        <rFont val="Arial"/>
        <family val="0"/>
        <charset val="1"/>
      </rPr>
      <t xml:space="preserve">(</t>
    </r>
    <r>
      <rPr>
        <sz val="10"/>
        <rFont val="Noto Sans CJK SC"/>
        <family val="2"/>
      </rPr>
      <t xml:space="preserve">ドメイン工学</t>
    </r>
    <r>
      <rPr>
        <sz val="10"/>
        <rFont val="Arial"/>
        <family val="0"/>
        <charset val="1"/>
      </rPr>
      <t xml:space="preserve">)</t>
    </r>
  </si>
  <si>
    <r>
      <rPr>
        <sz val="10"/>
        <rFont val="Arial"/>
        <family val="0"/>
        <charset val="1"/>
      </rPr>
      <t xml:space="preserve">18 </t>
    </r>
    <r>
      <rPr>
        <sz val="10"/>
        <rFont val="Noto Sans CJK SC"/>
        <family val="2"/>
      </rPr>
      <t xml:space="preserve">システム企画</t>
    </r>
  </si>
  <si>
    <r>
      <rPr>
        <sz val="10"/>
        <rFont val="Arial"/>
        <family val="0"/>
        <charset val="1"/>
      </rPr>
      <t xml:space="preserve">BABOK/</t>
    </r>
    <r>
      <rPr>
        <sz val="10"/>
        <rFont val="Noto Sans CJK SC"/>
        <family val="2"/>
      </rPr>
      <t xml:space="preserve">要求の分類</t>
    </r>
  </si>
  <si>
    <r>
      <rPr>
        <sz val="10"/>
        <rFont val="Noto Sans CJK SC"/>
        <family val="2"/>
      </rPr>
      <t xml:space="preserve">契約形態</t>
    </r>
    <r>
      <rPr>
        <sz val="10"/>
        <rFont val="Arial"/>
        <family val="0"/>
        <charset val="1"/>
      </rPr>
      <t xml:space="preserve">(</t>
    </r>
    <r>
      <rPr>
        <sz val="10"/>
        <rFont val="Noto Sans CJK SC"/>
        <family val="2"/>
      </rPr>
      <t xml:space="preserve">請負</t>
    </r>
    <r>
      <rPr>
        <sz val="10"/>
        <rFont val="Arial"/>
        <family val="0"/>
        <charset val="1"/>
      </rPr>
      <t xml:space="preserve">/</t>
    </r>
    <r>
      <rPr>
        <sz val="10"/>
        <rFont val="Noto Sans CJK SC"/>
        <family val="2"/>
      </rPr>
      <t xml:space="preserve">準委任</t>
    </r>
    <r>
      <rPr>
        <sz val="10"/>
        <rFont val="Arial"/>
        <family val="0"/>
        <charset val="1"/>
      </rPr>
      <t xml:space="preserve">/</t>
    </r>
    <r>
      <rPr>
        <sz val="10"/>
        <rFont val="Noto Sans CJK SC"/>
        <family val="2"/>
      </rPr>
      <t xml:space="preserve">ラボ</t>
    </r>
    <r>
      <rPr>
        <sz val="10"/>
        <rFont val="Arial"/>
        <family val="0"/>
        <charset val="1"/>
      </rPr>
      <t xml:space="preserve">/</t>
    </r>
    <r>
      <rPr>
        <sz val="10"/>
        <rFont val="Noto Sans CJK SC"/>
        <family val="2"/>
      </rPr>
      <t xml:space="preserve">実費償還</t>
    </r>
    <r>
      <rPr>
        <sz val="10"/>
        <rFont val="Arial"/>
        <family val="0"/>
        <charset val="1"/>
      </rPr>
      <t xml:space="preserve">)</t>
    </r>
  </si>
  <si>
    <r>
      <rPr>
        <sz val="10"/>
        <rFont val="Arial"/>
        <family val="0"/>
        <charset val="1"/>
      </rPr>
      <t xml:space="preserve">BCP</t>
    </r>
    <r>
      <rPr>
        <sz val="10"/>
        <rFont val="Noto Sans CJK SC"/>
        <family val="2"/>
      </rPr>
      <t xml:space="preserve">・</t>
    </r>
    <r>
      <rPr>
        <sz val="10"/>
        <rFont val="Arial"/>
        <family val="0"/>
        <charset val="1"/>
      </rPr>
      <t xml:space="preserve">RTO</t>
    </r>
  </si>
  <si>
    <r>
      <rPr>
        <sz val="10"/>
        <rFont val="Arial"/>
        <family val="0"/>
        <charset val="1"/>
      </rPr>
      <t xml:space="preserve">3 </t>
    </r>
    <r>
      <rPr>
        <sz val="10"/>
        <rFont val="Noto Sans CJK SC"/>
        <family val="2"/>
      </rPr>
      <t xml:space="preserve">コンピュータ構成要素</t>
    </r>
  </si>
  <si>
    <t xml:space="preserve">仮想記憶・割込み</t>
  </si>
  <si>
    <r>
      <rPr>
        <sz val="10"/>
        <rFont val="Noto Sans CJK SC"/>
        <family val="2"/>
      </rPr>
      <t xml:space="preserve">フェールセーフ</t>
    </r>
    <r>
      <rPr>
        <sz val="10"/>
        <rFont val="Arial"/>
        <family val="0"/>
        <charset val="1"/>
      </rPr>
      <t xml:space="preserve">/</t>
    </r>
    <r>
      <rPr>
        <sz val="10"/>
        <rFont val="Noto Sans CJK SC"/>
        <family val="2"/>
      </rPr>
      <t xml:space="preserve">フェールソフト</t>
    </r>
    <r>
      <rPr>
        <sz val="10"/>
        <rFont val="Arial"/>
        <family val="0"/>
        <charset val="1"/>
      </rPr>
      <t xml:space="preserve">/</t>
    </r>
    <r>
      <rPr>
        <sz val="10"/>
        <rFont val="Noto Sans CJK SC"/>
        <family val="2"/>
      </rPr>
      <t xml:space="preserve">フォールトトレランス</t>
    </r>
  </si>
  <si>
    <r>
      <rPr>
        <sz val="10"/>
        <rFont val="Noto Sans CJK SC"/>
        <family val="2"/>
      </rPr>
      <t xml:space="preserve">マルチプロセッサ</t>
    </r>
    <r>
      <rPr>
        <sz val="10"/>
        <rFont val="Arial"/>
        <family val="0"/>
        <charset val="1"/>
      </rPr>
      <t xml:space="preserve">(</t>
    </r>
    <r>
      <rPr>
        <sz val="10"/>
        <rFont val="Noto Sans CJK SC"/>
        <family val="2"/>
      </rPr>
      <t xml:space="preserve">アムダールの法則</t>
    </r>
    <r>
      <rPr>
        <sz val="10"/>
        <rFont val="Arial"/>
        <family val="0"/>
        <charset val="1"/>
      </rPr>
      <t xml:space="preserve">)</t>
    </r>
  </si>
  <si>
    <r>
      <rPr>
        <sz val="10"/>
        <rFont val="Arial"/>
        <family val="0"/>
        <charset val="1"/>
      </rPr>
      <t xml:space="preserve">9 </t>
    </r>
    <r>
      <rPr>
        <sz val="10"/>
        <rFont val="Noto Sans CJK SC"/>
        <family val="2"/>
      </rPr>
      <t xml:space="preserve">データベース</t>
    </r>
  </si>
  <si>
    <t xml:space="preserve">OLAP</t>
  </si>
  <si>
    <r>
      <rPr>
        <sz val="10"/>
        <rFont val="Arial"/>
        <family val="0"/>
        <charset val="1"/>
      </rPr>
      <t xml:space="preserve">10 </t>
    </r>
    <r>
      <rPr>
        <sz val="10"/>
        <rFont val="Noto Sans CJK SC"/>
        <family val="2"/>
      </rPr>
      <t xml:space="preserve">ネットワーク</t>
    </r>
  </si>
  <si>
    <r>
      <rPr>
        <sz val="10"/>
        <rFont val="Arial"/>
        <family val="0"/>
        <charset val="1"/>
      </rPr>
      <t xml:space="preserve">LAN(CSMA/</t>
    </r>
    <r>
      <rPr>
        <sz val="10"/>
        <rFont val="Noto Sans CJK SC"/>
        <family val="2"/>
      </rPr>
      <t xml:space="preserve">スイッチングハブ</t>
    </r>
    <r>
      <rPr>
        <sz val="10"/>
        <rFont val="Arial"/>
        <family val="0"/>
        <charset val="1"/>
      </rPr>
      <t xml:space="preserve">)</t>
    </r>
  </si>
  <si>
    <r>
      <rPr>
        <sz val="10"/>
        <rFont val="Arial"/>
        <family val="0"/>
        <charset val="1"/>
      </rPr>
      <t xml:space="preserve">11 </t>
    </r>
    <r>
      <rPr>
        <sz val="10"/>
        <rFont val="Noto Sans CJK SC"/>
        <family val="2"/>
      </rPr>
      <t xml:space="preserve">セキュリティ</t>
    </r>
  </si>
  <si>
    <t xml:space="preserve">リスク分析・ガバナンス</t>
  </si>
  <si>
    <r>
      <rPr>
        <sz val="10"/>
        <rFont val="Noto Sans CJK SC"/>
        <family val="2"/>
      </rPr>
      <t xml:space="preserve">電子署名・</t>
    </r>
    <r>
      <rPr>
        <sz val="10"/>
        <rFont val="Arial"/>
        <family val="0"/>
        <charset val="1"/>
      </rPr>
      <t xml:space="preserve">PKI</t>
    </r>
    <r>
      <rPr>
        <sz val="10"/>
        <rFont val="Noto Sans CJK SC"/>
        <family val="2"/>
      </rPr>
      <t xml:space="preserve">・</t>
    </r>
    <r>
      <rPr>
        <sz val="10"/>
        <rFont val="Arial"/>
        <family val="0"/>
        <charset val="1"/>
      </rPr>
      <t xml:space="preserve">TPM</t>
    </r>
  </si>
  <si>
    <r>
      <rPr>
        <sz val="10"/>
        <rFont val="Arial"/>
        <family val="0"/>
        <charset val="1"/>
      </rPr>
      <t xml:space="preserve">Web</t>
    </r>
    <r>
      <rPr>
        <sz val="10"/>
        <rFont val="Noto Sans CJK SC"/>
        <family val="2"/>
      </rPr>
      <t xml:space="preserve">脆弱性対策</t>
    </r>
    <r>
      <rPr>
        <sz val="10"/>
        <rFont val="Arial"/>
        <family val="0"/>
        <charset val="1"/>
      </rPr>
      <t xml:space="preserve">(XSS/WAF)</t>
    </r>
  </si>
  <si>
    <r>
      <rPr>
        <sz val="10"/>
        <rFont val="Arial"/>
        <family val="0"/>
        <charset val="1"/>
      </rPr>
      <t xml:space="preserve">DFD/</t>
    </r>
    <r>
      <rPr>
        <sz val="10"/>
        <rFont val="Noto Sans CJK SC"/>
        <family val="2"/>
      </rPr>
      <t xml:space="preserve">構造化技法</t>
    </r>
  </si>
  <si>
    <r>
      <rPr>
        <sz val="10"/>
        <rFont val="Noto Sans CJK SC"/>
        <family val="2"/>
      </rPr>
      <t xml:space="preserve">ペトリネット</t>
    </r>
    <r>
      <rPr>
        <sz val="10"/>
        <rFont val="Arial"/>
        <family val="0"/>
        <charset val="1"/>
      </rPr>
      <t xml:space="preserve">(</t>
    </r>
    <r>
      <rPr>
        <sz val="10"/>
        <rFont val="Noto Sans CJK SC"/>
        <family val="2"/>
      </rPr>
      <t xml:space="preserve">同期の要求モデル</t>
    </r>
    <r>
      <rPr>
        <sz val="10"/>
        <rFont val="Arial"/>
        <family val="0"/>
        <charset val="1"/>
      </rPr>
      <t xml:space="preserve">)</t>
    </r>
  </si>
  <si>
    <t xml:space="preserve">データモデル設計</t>
  </si>
  <si>
    <t xml:space="preserve">結合度・モジュール分割</t>
  </si>
  <si>
    <r>
      <rPr>
        <sz val="10"/>
        <rFont val="Arial"/>
        <family val="0"/>
        <charset val="1"/>
      </rPr>
      <t xml:space="preserve">JIS X 25010(SQuaRE</t>
    </r>
    <r>
      <rPr>
        <sz val="10"/>
        <rFont val="Noto Sans CJK SC"/>
        <family val="2"/>
      </rPr>
      <t xml:space="preserve">品質</t>
    </r>
    <r>
      <rPr>
        <sz val="10"/>
        <rFont val="Arial"/>
        <family val="0"/>
        <charset val="1"/>
      </rPr>
      <t xml:space="preserve">)</t>
    </r>
  </si>
  <si>
    <r>
      <rPr>
        <sz val="10"/>
        <rFont val="Noto Sans CJK SC"/>
        <family val="2"/>
      </rPr>
      <t xml:space="preserve">コーディング規約</t>
    </r>
    <r>
      <rPr>
        <sz val="10"/>
        <rFont val="Arial"/>
        <family val="0"/>
        <charset val="1"/>
      </rPr>
      <t xml:space="preserve">(MISRA C)</t>
    </r>
  </si>
  <si>
    <r>
      <rPr>
        <sz val="10"/>
        <rFont val="Noto Sans CJK SC"/>
        <family val="2"/>
      </rPr>
      <t xml:space="preserve">品質予測</t>
    </r>
    <r>
      <rPr>
        <sz val="10"/>
        <rFont val="Arial"/>
        <family val="0"/>
        <charset val="1"/>
      </rPr>
      <t xml:space="preserve">(</t>
    </r>
    <r>
      <rPr>
        <sz val="10"/>
        <rFont val="Noto Sans CJK SC"/>
        <family val="2"/>
      </rPr>
      <t xml:space="preserve">バグ管理図</t>
    </r>
    <r>
      <rPr>
        <sz val="10"/>
        <rFont val="Arial"/>
        <family val="0"/>
        <charset val="1"/>
      </rPr>
      <t xml:space="preserve">/</t>
    </r>
    <r>
      <rPr>
        <sz val="10"/>
        <rFont val="Noto Sans CJK SC"/>
        <family val="2"/>
      </rPr>
      <t xml:space="preserve">エラー埋込み</t>
    </r>
    <r>
      <rPr>
        <sz val="10"/>
        <rFont val="Arial"/>
        <family val="0"/>
        <charset val="1"/>
      </rPr>
      <t xml:space="preserve">)</t>
    </r>
  </si>
  <si>
    <t xml:space="preserve">保守</t>
  </si>
  <si>
    <t xml:space="preserve">個人情報・プライバシー</t>
  </si>
  <si>
    <t xml:space="preserve">グリーン購入法</t>
  </si>
  <si>
    <r>
      <rPr>
        <sz val="10"/>
        <rFont val="Arial"/>
        <family val="0"/>
        <charset val="1"/>
      </rPr>
      <t xml:space="preserve">17 </t>
    </r>
    <r>
      <rPr>
        <sz val="10"/>
        <rFont val="Noto Sans CJK SC"/>
        <family val="2"/>
      </rPr>
      <t xml:space="preserve">システム戦略</t>
    </r>
  </si>
  <si>
    <r>
      <rPr>
        <sz val="10"/>
        <rFont val="Arial"/>
        <family val="0"/>
        <charset val="1"/>
      </rPr>
      <t xml:space="preserve">EA(</t>
    </r>
    <r>
      <rPr>
        <sz val="10"/>
        <rFont val="Noto Sans CJK SC"/>
        <family val="2"/>
      </rPr>
      <t xml:space="preserve">エンタープライズアーキテクチャ</t>
    </r>
    <r>
      <rPr>
        <sz val="10"/>
        <rFont val="Arial"/>
        <family val="0"/>
        <charset val="1"/>
      </rPr>
      <t xml:space="preserve">)</t>
    </r>
  </si>
  <si>
    <r>
      <rPr>
        <sz val="10"/>
        <rFont val="Noto Sans CJK SC"/>
        <family val="2"/>
      </rPr>
      <t xml:space="preserve">信頼性計算</t>
    </r>
    <r>
      <rPr>
        <sz val="10"/>
        <rFont val="Arial"/>
        <family val="0"/>
        <charset val="1"/>
      </rPr>
      <t xml:space="preserve">(</t>
    </r>
    <r>
      <rPr>
        <sz val="10"/>
        <rFont val="Noto Sans CJK SC"/>
        <family val="2"/>
      </rPr>
      <t xml:space="preserve">稼働率</t>
    </r>
    <r>
      <rPr>
        <sz val="10"/>
        <rFont val="Arial"/>
        <family val="0"/>
        <charset val="1"/>
      </rPr>
      <t xml:space="preserve">/RAID/</t>
    </r>
    <r>
      <rPr>
        <sz val="10"/>
        <rFont val="Noto Sans CJK SC"/>
        <family val="2"/>
      </rPr>
      <t xml:space="preserve">故障率</t>
    </r>
    <r>
      <rPr>
        <sz val="10"/>
        <rFont val="Arial"/>
        <family val="0"/>
        <charset val="1"/>
      </rPr>
      <t xml:space="preserve">)</t>
    </r>
  </si>
  <si>
    <t xml:space="preserve">分散システムの透過性</t>
  </si>
  <si>
    <t xml:space="preserve">トランザクション制御</t>
  </si>
  <si>
    <r>
      <rPr>
        <sz val="10"/>
        <rFont val="Noto Sans CJK SC"/>
        <family val="2"/>
      </rPr>
      <t xml:space="preserve">ストレージ</t>
    </r>
    <r>
      <rPr>
        <sz val="10"/>
        <rFont val="Arial"/>
        <family val="0"/>
        <charset val="1"/>
      </rPr>
      <t xml:space="preserve">(SAN/FC/</t>
    </r>
    <r>
      <rPr>
        <sz val="10"/>
        <rFont val="Noto Sans CJK SC"/>
        <family val="2"/>
      </rPr>
      <t xml:space="preserve">仮想化</t>
    </r>
    <r>
      <rPr>
        <sz val="10"/>
        <rFont val="Arial"/>
        <family val="0"/>
        <charset val="1"/>
      </rPr>
      <t xml:space="preserve">)</t>
    </r>
  </si>
  <si>
    <t xml:space="preserve">暗号方式</t>
  </si>
  <si>
    <r>
      <rPr>
        <sz val="10"/>
        <rFont val="Noto Sans CJK SC"/>
        <family val="2"/>
      </rPr>
      <t xml:space="preserve">アジャイル</t>
    </r>
    <r>
      <rPr>
        <sz val="10"/>
        <rFont val="Arial"/>
        <family val="0"/>
        <charset val="1"/>
      </rPr>
      <t xml:space="preserve">/</t>
    </r>
    <r>
      <rPr>
        <sz val="10"/>
        <rFont val="Noto Sans CJK SC"/>
        <family val="2"/>
      </rPr>
      <t xml:space="preserve">スクラム</t>
    </r>
  </si>
  <si>
    <t xml:space="preserve">要件定義・要求分析</t>
  </si>
  <si>
    <r>
      <rPr>
        <sz val="10"/>
        <rFont val="Arial"/>
        <family val="0"/>
        <charset val="1"/>
      </rPr>
      <t xml:space="preserve">SoS(</t>
    </r>
    <r>
      <rPr>
        <sz val="10"/>
        <rFont val="Noto Sans CJK SC"/>
        <family val="2"/>
      </rPr>
      <t xml:space="preserve">システムオブシステムズ</t>
    </r>
    <r>
      <rPr>
        <sz val="10"/>
        <rFont val="Arial"/>
        <family val="0"/>
        <charset val="1"/>
      </rPr>
      <t xml:space="preserve">)</t>
    </r>
  </si>
  <si>
    <r>
      <rPr>
        <sz val="10"/>
        <rFont val="Arial"/>
        <family val="0"/>
        <charset val="1"/>
      </rPr>
      <t xml:space="preserve">HW/SW</t>
    </r>
    <r>
      <rPr>
        <sz val="10"/>
        <rFont val="Noto Sans CJK SC"/>
        <family val="2"/>
      </rPr>
      <t xml:space="preserve">コデザイン</t>
    </r>
  </si>
  <si>
    <t xml:space="preserve">イベント駆動・状態遷移</t>
  </si>
  <si>
    <t xml:space="preserve">ペアプログラミング</t>
  </si>
  <si>
    <t xml:space="preserve">探索的テスト</t>
  </si>
  <si>
    <t xml:space="preserve">FMEA</t>
  </si>
  <si>
    <r>
      <rPr>
        <sz val="10"/>
        <rFont val="Arial"/>
        <family val="0"/>
        <charset val="1"/>
      </rPr>
      <t xml:space="preserve">IT</t>
    </r>
    <r>
      <rPr>
        <sz val="10"/>
        <rFont val="Noto Sans CJK SC"/>
        <family val="2"/>
      </rPr>
      <t xml:space="preserve">投資評価</t>
    </r>
    <r>
      <rPr>
        <sz val="10"/>
        <rFont val="Arial"/>
        <family val="0"/>
        <charset val="1"/>
      </rPr>
      <t xml:space="preserve">(BSC/KPI/NRE)</t>
    </r>
  </si>
  <si>
    <r>
      <rPr>
        <sz val="10"/>
        <rFont val="Noto Sans CJK SC"/>
        <family val="2"/>
      </rPr>
      <t xml:space="preserve">知財ライセンス</t>
    </r>
    <r>
      <rPr>
        <sz val="10"/>
        <rFont val="Arial"/>
        <family val="0"/>
        <charset val="1"/>
      </rPr>
      <t xml:space="preserve">(</t>
    </r>
    <r>
      <rPr>
        <sz val="10"/>
        <rFont val="Noto Sans CJK SC"/>
        <family val="2"/>
      </rPr>
      <t xml:space="preserve">グラントバック等</t>
    </r>
    <r>
      <rPr>
        <sz val="10"/>
        <rFont val="Arial"/>
        <family val="0"/>
        <charset val="1"/>
      </rPr>
      <t xml:space="preserve">)</t>
    </r>
  </si>
  <si>
    <t xml:space="preserve">データサイエンティスト</t>
  </si>
  <si>
    <r>
      <rPr>
        <sz val="10"/>
        <rFont val="Arial"/>
        <family val="0"/>
        <charset val="1"/>
      </rPr>
      <t xml:space="preserve">CPU(</t>
    </r>
    <r>
      <rPr>
        <sz val="10"/>
        <rFont val="Noto Sans CJK SC"/>
        <family val="2"/>
      </rPr>
      <t xml:space="preserve">パイプライン等</t>
    </r>
    <r>
      <rPr>
        <sz val="10"/>
        <rFont val="Arial"/>
        <family val="0"/>
        <charset val="1"/>
      </rPr>
      <t xml:space="preserve">)</t>
    </r>
  </si>
  <si>
    <r>
      <rPr>
        <sz val="10"/>
        <rFont val="Arial"/>
        <family val="0"/>
        <charset val="1"/>
      </rPr>
      <t xml:space="preserve">RPC(</t>
    </r>
    <r>
      <rPr>
        <sz val="10"/>
        <rFont val="Noto Sans CJK SC"/>
        <family val="2"/>
      </rPr>
      <t xml:space="preserve">リモート手続き呼出し</t>
    </r>
    <r>
      <rPr>
        <sz val="10"/>
        <rFont val="Arial"/>
        <family val="0"/>
        <charset val="1"/>
      </rPr>
      <t xml:space="preserve">)</t>
    </r>
  </si>
  <si>
    <r>
      <rPr>
        <sz val="10"/>
        <rFont val="Arial"/>
        <family val="0"/>
        <charset val="1"/>
      </rPr>
      <t xml:space="preserve">IP</t>
    </r>
    <r>
      <rPr>
        <sz val="10"/>
        <rFont val="Noto Sans CJK SC"/>
        <family val="2"/>
      </rPr>
      <t xml:space="preserve">電話</t>
    </r>
    <r>
      <rPr>
        <sz val="10"/>
        <rFont val="Arial"/>
        <family val="0"/>
        <charset val="1"/>
      </rPr>
      <t xml:space="preserve">(VoIP)</t>
    </r>
  </si>
  <si>
    <r>
      <rPr>
        <sz val="10"/>
        <rFont val="Noto Sans CJK SC"/>
        <family val="2"/>
      </rPr>
      <t xml:space="preserve">メールセキュリティ</t>
    </r>
    <r>
      <rPr>
        <sz val="10"/>
        <rFont val="Arial"/>
        <family val="0"/>
        <charset val="1"/>
      </rPr>
      <t xml:space="preserve">(OP25B/SPF/</t>
    </r>
    <r>
      <rPr>
        <sz val="10"/>
        <rFont val="Noto Sans CJK SC"/>
        <family val="2"/>
      </rPr>
      <t xml:space="preserve">ベイジアン</t>
    </r>
    <r>
      <rPr>
        <sz val="10"/>
        <rFont val="Arial"/>
        <family val="0"/>
        <charset val="1"/>
      </rPr>
      <t xml:space="preserve">)</t>
    </r>
  </si>
  <si>
    <r>
      <rPr>
        <sz val="10"/>
        <rFont val="Arial"/>
        <family val="0"/>
        <charset val="1"/>
      </rPr>
      <t xml:space="preserve">CRUD</t>
    </r>
    <r>
      <rPr>
        <sz val="10"/>
        <rFont val="Noto Sans CJK SC"/>
        <family val="2"/>
      </rPr>
      <t xml:space="preserve">マトリックス</t>
    </r>
  </si>
  <si>
    <t xml:space="preserve">CMMI</t>
  </si>
  <si>
    <t xml:space="preserve">アシュアランスケース</t>
  </si>
  <si>
    <t xml:space="preserve">プログラミング言語・アルゴリズム</t>
  </si>
  <si>
    <r>
      <rPr>
        <sz val="10"/>
        <rFont val="Arial"/>
        <family val="0"/>
        <charset val="1"/>
      </rPr>
      <t xml:space="preserve">WTO</t>
    </r>
    <r>
      <rPr>
        <sz val="10"/>
        <rFont val="Noto Sans CJK SC"/>
        <family val="2"/>
      </rPr>
      <t xml:space="preserve">政府調達協定</t>
    </r>
  </si>
  <si>
    <t xml:space="preserve">キャパシティプランニング</t>
  </si>
  <si>
    <t xml:space="preserve">関係モデル・正規化</t>
  </si>
  <si>
    <r>
      <rPr>
        <sz val="10"/>
        <rFont val="Noto Sans CJK SC"/>
        <family val="2"/>
      </rPr>
      <t xml:space="preserve">セキュリティ評価</t>
    </r>
    <r>
      <rPr>
        <sz val="10"/>
        <rFont val="Arial"/>
        <family val="0"/>
        <charset val="1"/>
      </rPr>
      <t xml:space="preserve">(CC/JISEC)</t>
    </r>
  </si>
  <si>
    <r>
      <rPr>
        <sz val="10"/>
        <rFont val="Arial"/>
        <family val="0"/>
        <charset val="1"/>
      </rPr>
      <t xml:space="preserve">Web</t>
    </r>
    <r>
      <rPr>
        <sz val="10"/>
        <rFont val="Noto Sans CJK SC"/>
        <family val="2"/>
      </rPr>
      <t xml:space="preserve">アプリ設計</t>
    </r>
    <r>
      <rPr>
        <sz val="10"/>
        <rFont val="Arial"/>
        <family val="0"/>
        <charset val="1"/>
      </rPr>
      <t xml:space="preserve">(Servlet)</t>
    </r>
  </si>
  <si>
    <r>
      <rPr>
        <sz val="10"/>
        <rFont val="Arial"/>
        <family val="0"/>
        <charset val="1"/>
      </rPr>
      <t xml:space="preserve">7 </t>
    </r>
    <r>
      <rPr>
        <sz val="10"/>
        <rFont val="Noto Sans CJK SC"/>
        <family val="2"/>
      </rPr>
      <t xml:space="preserve">ユーザーインタフェース</t>
    </r>
  </si>
  <si>
    <t xml:space="preserve">ユーザビリティ</t>
  </si>
  <si>
    <t xml:space="preserve">アサーション</t>
  </si>
  <si>
    <t xml:space="preserve">リグレッションテスト</t>
  </si>
  <si>
    <r>
      <rPr>
        <sz val="10"/>
        <rFont val="Arial"/>
        <family val="0"/>
        <charset val="1"/>
      </rPr>
      <t xml:space="preserve">AI/</t>
    </r>
    <r>
      <rPr>
        <sz val="10"/>
        <rFont val="Noto Sans CJK SC"/>
        <family val="2"/>
      </rPr>
      <t xml:space="preserve">機械学習</t>
    </r>
  </si>
  <si>
    <r>
      <rPr>
        <sz val="10"/>
        <rFont val="Noto Sans CJK SC"/>
        <family val="2"/>
      </rPr>
      <t xml:space="preserve">セキュア</t>
    </r>
    <r>
      <rPr>
        <sz val="10"/>
        <rFont val="Arial"/>
        <family val="0"/>
        <charset val="1"/>
      </rPr>
      <t xml:space="preserve">OS</t>
    </r>
  </si>
  <si>
    <r>
      <rPr>
        <sz val="10"/>
        <rFont val="Noto Sans CJK SC"/>
        <family val="2"/>
      </rPr>
      <t xml:space="preserve">企画</t>
    </r>
    <r>
      <rPr>
        <sz val="10"/>
        <rFont val="Arial"/>
        <family val="0"/>
        <charset val="1"/>
      </rPr>
      <t xml:space="preserve">/UX(</t>
    </r>
    <r>
      <rPr>
        <sz val="10"/>
        <rFont val="Noto Sans CJK SC"/>
        <family val="2"/>
      </rPr>
      <t xml:space="preserve">プロトタイプ・デザイン思考・</t>
    </r>
    <r>
      <rPr>
        <sz val="10"/>
        <rFont val="Arial"/>
        <family val="0"/>
        <charset val="1"/>
      </rPr>
      <t xml:space="preserve">CEM)</t>
    </r>
  </si>
  <si>
    <r>
      <rPr>
        <sz val="10"/>
        <rFont val="Noto Sans CJK SC"/>
        <family val="2"/>
      </rPr>
      <t xml:space="preserve">レビュー</t>
    </r>
    <r>
      <rPr>
        <sz val="10"/>
        <rFont val="Arial"/>
        <family val="0"/>
        <charset val="1"/>
      </rPr>
      <t xml:space="preserve">(</t>
    </r>
    <r>
      <rPr>
        <sz val="10"/>
        <rFont val="Noto Sans CJK SC"/>
        <family val="2"/>
      </rPr>
      <t xml:space="preserve">ウォークスルー</t>
    </r>
    <r>
      <rPr>
        <sz val="10"/>
        <rFont val="Arial"/>
        <family val="0"/>
        <charset val="1"/>
      </rPr>
      <t xml:space="preserve">)</t>
    </r>
  </si>
  <si>
    <t xml:space="preserve">マイクロサービス</t>
  </si>
  <si>
    <r>
      <rPr>
        <sz val="10"/>
        <rFont val="Noto Sans CJK SC"/>
        <family val="2"/>
      </rPr>
      <t xml:space="preserve">オブジェクト指向基礎</t>
    </r>
    <r>
      <rPr>
        <sz val="10"/>
        <rFont val="Arial"/>
        <family val="0"/>
        <charset val="1"/>
      </rPr>
      <t xml:space="preserve">(</t>
    </r>
    <r>
      <rPr>
        <sz val="10"/>
        <rFont val="Noto Sans CJK SC"/>
        <family val="2"/>
      </rPr>
      <t xml:space="preserve">汎化等</t>
    </r>
    <r>
      <rPr>
        <sz val="10"/>
        <rFont val="Arial"/>
        <family val="0"/>
        <charset val="1"/>
      </rPr>
      <t xml:space="preserve">)</t>
    </r>
  </si>
  <si>
    <t xml:space="preserve">開発モデル</t>
  </si>
  <si>
    <r>
      <rPr>
        <sz val="10"/>
        <rFont val="Arial"/>
        <family val="0"/>
        <charset val="1"/>
      </rPr>
      <t xml:space="preserve">IoT</t>
    </r>
    <r>
      <rPr>
        <sz val="10"/>
        <rFont val="Noto Sans CJK SC"/>
        <family val="2"/>
      </rPr>
      <t xml:space="preserve">機器調査</t>
    </r>
    <r>
      <rPr>
        <sz val="10"/>
        <rFont val="Arial"/>
        <family val="0"/>
        <charset val="1"/>
      </rPr>
      <t xml:space="preserve">(NOTICE)</t>
    </r>
  </si>
  <si>
    <r>
      <rPr>
        <sz val="10"/>
        <rFont val="Noto Sans CJK SC"/>
        <family val="2"/>
      </rPr>
      <t xml:space="preserve">ビュー</t>
    </r>
    <r>
      <rPr>
        <sz val="10"/>
        <rFont val="Arial"/>
        <family val="0"/>
        <charset val="1"/>
      </rPr>
      <t xml:space="preserve">(SQL)</t>
    </r>
  </si>
  <si>
    <r>
      <rPr>
        <sz val="10"/>
        <rFont val="Arial"/>
        <family val="0"/>
        <charset val="1"/>
      </rPr>
      <t xml:space="preserve">TCP/</t>
    </r>
    <r>
      <rPr>
        <sz val="10"/>
        <rFont val="Noto Sans CJK SC"/>
        <family val="2"/>
      </rPr>
      <t xml:space="preserve">ネットワークコマンド</t>
    </r>
  </si>
  <si>
    <r>
      <rPr>
        <sz val="10"/>
        <rFont val="Noto Sans CJK SC"/>
        <family val="2"/>
      </rPr>
      <t xml:space="preserve">組込みでの</t>
    </r>
    <r>
      <rPr>
        <sz val="10"/>
        <rFont val="Arial"/>
        <family val="0"/>
        <charset val="1"/>
      </rPr>
      <t xml:space="preserve">DBMS</t>
    </r>
  </si>
  <si>
    <r>
      <rPr>
        <sz val="10"/>
        <rFont val="Arial"/>
        <family val="0"/>
        <charset val="1"/>
      </rPr>
      <t xml:space="preserve">LSI</t>
    </r>
    <r>
      <rPr>
        <sz val="10"/>
        <rFont val="Noto Sans CJK SC"/>
        <family val="2"/>
      </rPr>
      <t xml:space="preserve">設計</t>
    </r>
  </si>
  <si>
    <r>
      <rPr>
        <sz val="10"/>
        <rFont val="Arial"/>
        <family val="0"/>
        <charset val="1"/>
      </rPr>
      <t xml:space="preserve">DDoS/DNS</t>
    </r>
    <r>
      <rPr>
        <sz val="10"/>
        <rFont val="Noto Sans CJK SC"/>
        <family val="2"/>
      </rPr>
      <t xml:space="preserve">攻撃</t>
    </r>
  </si>
  <si>
    <t xml:space="preserve">FW/NAPT</t>
  </si>
  <si>
    <t xml:space="preserve">キャッシュメモリ</t>
  </si>
  <si>
    <r>
      <rPr>
        <sz val="10"/>
        <rFont val="Arial"/>
        <family val="0"/>
        <charset val="1"/>
      </rPr>
      <t xml:space="preserve">DB</t>
    </r>
    <r>
      <rPr>
        <sz val="10"/>
        <rFont val="Noto Sans CJK SC"/>
        <family val="2"/>
      </rPr>
      <t xml:space="preserve">クラスタ</t>
    </r>
  </si>
  <si>
    <t xml:space="preserve">業務改善効果の計算</t>
  </si>
  <si>
    <r>
      <rPr>
        <sz val="10"/>
        <rFont val="Noto Sans CJK SC"/>
        <family val="2"/>
      </rPr>
      <t xml:space="preserve">コンテナ</t>
    </r>
    <r>
      <rPr>
        <sz val="10"/>
        <rFont val="Arial"/>
        <family val="0"/>
        <charset val="1"/>
      </rPr>
      <t xml:space="preserve">/</t>
    </r>
    <r>
      <rPr>
        <sz val="10"/>
        <rFont val="Noto Sans CJK SC"/>
        <family val="2"/>
      </rPr>
      <t xml:space="preserve">クラウド</t>
    </r>
  </si>
  <si>
    <r>
      <rPr>
        <sz val="10"/>
        <rFont val="Noto Sans CJK SC"/>
        <family val="2"/>
      </rPr>
      <t xml:space="preserve">アスペクト指向</t>
    </r>
    <r>
      <rPr>
        <sz val="10"/>
        <rFont val="Arial"/>
        <family val="0"/>
        <charset val="1"/>
      </rPr>
      <t xml:space="preserve">(AOP)</t>
    </r>
  </si>
  <si>
    <r>
      <rPr>
        <sz val="10"/>
        <rFont val="Arial"/>
        <family val="0"/>
        <charset val="1"/>
      </rPr>
      <t xml:space="preserve">HTTP</t>
    </r>
    <r>
      <rPr>
        <sz val="10"/>
        <rFont val="Noto Sans CJK SC"/>
        <family val="2"/>
      </rPr>
      <t xml:space="preserve">ステータス</t>
    </r>
  </si>
  <si>
    <t xml:space="preserve">SSO(OSS: Keycloak)</t>
  </si>
  <si>
    <t xml:space="preserve">静的解析・複雑度</t>
  </si>
  <si>
    <t xml:space="preserve">ミューテーションテスト</t>
  </si>
  <si>
    <t xml:space="preserve">SSH</t>
  </si>
  <si>
    <r>
      <rPr>
        <sz val="10"/>
        <rFont val="Noto Sans CJK SC"/>
        <family val="2"/>
      </rPr>
      <t xml:space="preserve">性能計算</t>
    </r>
    <r>
      <rPr>
        <sz val="10"/>
        <rFont val="Arial"/>
        <family val="0"/>
        <charset val="1"/>
      </rPr>
      <t xml:space="preserve">(</t>
    </r>
    <r>
      <rPr>
        <sz val="10"/>
        <rFont val="Noto Sans CJK SC"/>
        <family val="2"/>
      </rPr>
      <t xml:space="preserve">キャッシュサーバ</t>
    </r>
    <r>
      <rPr>
        <sz val="10"/>
        <rFont val="Arial"/>
        <family val="0"/>
        <charset val="1"/>
      </rPr>
      <t xml:space="preserve">)</t>
    </r>
  </si>
  <si>
    <t xml:space="preserve">コード設計</t>
  </si>
  <si>
    <r>
      <rPr>
        <b val="true"/>
        <sz val="14"/>
        <rFont val="Noto Sans CJK SC"/>
        <family val="2"/>
      </rPr>
      <t xml:space="preserve">再出題された</t>
    </r>
    <r>
      <rPr>
        <b val="true"/>
        <sz val="14"/>
        <rFont val="Arial"/>
        <family val="0"/>
        <charset val="1"/>
      </rPr>
      <t xml:space="preserve">45</t>
    </r>
    <r>
      <rPr>
        <b val="true"/>
        <sz val="14"/>
        <rFont val="Noto Sans CJK SC"/>
        <family val="2"/>
      </rPr>
      <t xml:space="preserve">組</t>
    </r>
  </si>
  <si>
    <t xml:space="preserve">同じ設問が複数回出た組。出題回と問番号は問題冊子と照らして確認できます。</t>
  </si>
  <si>
    <t xml:space="preserve">グループ</t>
  </si>
  <si>
    <t xml:space="preserve">問題の内容</t>
  </si>
  <si>
    <t xml:space="preserve">中分類</t>
  </si>
  <si>
    <t xml:space="preserve">出題回数</t>
  </si>
  <si>
    <t xml:space="preserve">出題された回と問番号</t>
  </si>
  <si>
    <t xml:space="preserve">実費償還型契約の説明</t>
  </si>
  <si>
    <r>
      <rPr>
        <sz val="10"/>
        <rFont val="Arial"/>
        <family val="0"/>
        <charset val="1"/>
      </rPr>
      <t xml:space="preserve">2015</t>
    </r>
    <r>
      <rPr>
        <sz val="10"/>
        <rFont val="Noto Sans CJK SC"/>
        <family val="2"/>
      </rPr>
      <t xml:space="preserve">年問</t>
    </r>
    <r>
      <rPr>
        <sz val="10"/>
        <rFont val="Arial"/>
        <family val="0"/>
        <charset val="1"/>
      </rPr>
      <t xml:space="preserve">16 / 2017</t>
    </r>
    <r>
      <rPr>
        <sz val="10"/>
        <rFont val="Noto Sans CJK SC"/>
        <family val="2"/>
      </rPr>
      <t xml:space="preserve">年問</t>
    </r>
    <r>
      <rPr>
        <sz val="10"/>
        <rFont val="Arial"/>
        <family val="0"/>
        <charset val="1"/>
      </rPr>
      <t xml:space="preserve">16 / 2023</t>
    </r>
    <r>
      <rPr>
        <sz val="10"/>
        <rFont val="Noto Sans CJK SC"/>
        <family val="2"/>
      </rPr>
      <t xml:space="preserve">年問</t>
    </r>
    <r>
      <rPr>
        <sz val="10"/>
        <rFont val="Arial"/>
        <family val="0"/>
        <charset val="1"/>
      </rPr>
      <t xml:space="preserve">15</t>
    </r>
  </si>
  <si>
    <r>
      <rPr>
        <sz val="10"/>
        <rFont val="Noto Sans CJK SC"/>
        <family val="2"/>
      </rPr>
      <t xml:space="preserve">電話機と</t>
    </r>
    <r>
      <rPr>
        <sz val="10"/>
        <rFont val="Arial"/>
        <family val="0"/>
        <charset val="1"/>
      </rPr>
      <t xml:space="preserve">PBX</t>
    </r>
    <r>
      <rPr>
        <sz val="10"/>
        <rFont val="Noto Sans CJK SC"/>
        <family val="2"/>
      </rPr>
      <t xml:space="preserve">を</t>
    </r>
    <r>
      <rPr>
        <sz val="10"/>
        <rFont val="Arial"/>
        <family val="0"/>
        <charset val="1"/>
      </rPr>
      <t xml:space="preserve">IP</t>
    </r>
    <r>
      <rPr>
        <sz val="10"/>
        <rFont val="Noto Sans CJK SC"/>
        <family val="2"/>
      </rPr>
      <t xml:space="preserve">ネットワークに統合する構成</t>
    </r>
  </si>
  <si>
    <r>
      <rPr>
        <sz val="10"/>
        <rFont val="Arial"/>
        <family val="0"/>
        <charset val="1"/>
      </rPr>
      <t xml:space="preserve">2017</t>
    </r>
    <r>
      <rPr>
        <sz val="10"/>
        <rFont val="Noto Sans CJK SC"/>
        <family val="2"/>
      </rPr>
      <t xml:space="preserve">年問</t>
    </r>
    <r>
      <rPr>
        <sz val="10"/>
        <rFont val="Arial"/>
        <family val="0"/>
        <charset val="1"/>
      </rPr>
      <t xml:space="preserve">22 / 2019</t>
    </r>
    <r>
      <rPr>
        <sz val="10"/>
        <rFont val="Noto Sans CJK SC"/>
        <family val="2"/>
      </rPr>
      <t xml:space="preserve">年問</t>
    </r>
    <r>
      <rPr>
        <sz val="10"/>
        <rFont val="Arial"/>
        <family val="0"/>
        <charset val="1"/>
      </rPr>
      <t xml:space="preserve">22 / 2022</t>
    </r>
    <r>
      <rPr>
        <sz val="10"/>
        <rFont val="Noto Sans CJK SC"/>
        <family val="2"/>
      </rPr>
      <t xml:space="preserve">年問</t>
    </r>
    <r>
      <rPr>
        <sz val="10"/>
        <rFont val="Arial"/>
        <family val="0"/>
        <charset val="1"/>
      </rPr>
      <t xml:space="preserve">25</t>
    </r>
  </si>
  <si>
    <r>
      <rPr>
        <sz val="10"/>
        <rFont val="Noto Sans CJK SC"/>
        <family val="2"/>
      </rPr>
      <t xml:space="preserve">署名済みソフトの発行元の確認</t>
    </r>
    <r>
      <rPr>
        <sz val="10"/>
        <rFont val="Arial"/>
        <family val="0"/>
        <charset val="1"/>
      </rPr>
      <t xml:space="preserve">(</t>
    </r>
    <r>
      <rPr>
        <sz val="10"/>
        <rFont val="Noto Sans CJK SC"/>
        <family val="2"/>
      </rPr>
      <t xml:space="preserve">電子署名</t>
    </r>
    <r>
      <rPr>
        <sz val="10"/>
        <rFont val="Arial"/>
        <family val="0"/>
        <charset val="1"/>
      </rPr>
      <t xml:space="preserve">)</t>
    </r>
  </si>
  <si>
    <r>
      <rPr>
        <sz val="10"/>
        <rFont val="Arial"/>
        <family val="0"/>
        <charset val="1"/>
      </rPr>
      <t xml:space="preserve">2017</t>
    </r>
    <r>
      <rPr>
        <sz val="10"/>
        <rFont val="Noto Sans CJK SC"/>
        <family val="2"/>
      </rPr>
      <t xml:space="preserve">年問</t>
    </r>
    <r>
      <rPr>
        <sz val="10"/>
        <rFont val="Arial"/>
        <family val="0"/>
        <charset val="1"/>
      </rPr>
      <t xml:space="preserve">23 / 2019</t>
    </r>
    <r>
      <rPr>
        <sz val="10"/>
        <rFont val="Noto Sans CJK SC"/>
        <family val="2"/>
      </rPr>
      <t xml:space="preserve">年問</t>
    </r>
    <r>
      <rPr>
        <sz val="10"/>
        <rFont val="Arial"/>
        <family val="0"/>
        <charset val="1"/>
      </rPr>
      <t xml:space="preserve">23 / 2024</t>
    </r>
    <r>
      <rPr>
        <sz val="10"/>
        <rFont val="Noto Sans CJK SC"/>
        <family val="2"/>
      </rPr>
      <t xml:space="preserve">年問</t>
    </r>
    <r>
      <rPr>
        <sz val="10"/>
        <rFont val="Arial"/>
        <family val="0"/>
        <charset val="1"/>
      </rPr>
      <t xml:space="preserve">17</t>
    </r>
  </si>
  <si>
    <r>
      <rPr>
        <sz val="10"/>
        <rFont val="Noto Sans CJK SC"/>
        <family val="2"/>
      </rPr>
      <t xml:space="preserve">スパム対策</t>
    </r>
    <r>
      <rPr>
        <sz val="10"/>
        <rFont val="Arial"/>
        <family val="0"/>
        <charset val="1"/>
      </rPr>
      <t xml:space="preserve">: </t>
    </r>
    <r>
      <rPr>
        <sz val="10"/>
        <rFont val="Noto Sans CJK SC"/>
        <family val="2"/>
      </rPr>
      <t xml:space="preserve">サブミッションポート</t>
    </r>
    <r>
      <rPr>
        <sz val="10"/>
        <rFont val="Arial"/>
        <family val="0"/>
        <charset val="1"/>
      </rPr>
      <t xml:space="preserve">587</t>
    </r>
    <r>
      <rPr>
        <sz val="10"/>
        <rFont val="Noto Sans CJK SC"/>
        <family val="2"/>
      </rPr>
      <t xml:space="preserve">の導入目的</t>
    </r>
  </si>
  <si>
    <r>
      <rPr>
        <sz val="10"/>
        <rFont val="Arial"/>
        <family val="0"/>
        <charset val="1"/>
      </rPr>
      <t xml:space="preserve">2017</t>
    </r>
    <r>
      <rPr>
        <sz val="10"/>
        <rFont val="Noto Sans CJK SC"/>
        <family val="2"/>
      </rPr>
      <t xml:space="preserve">年問</t>
    </r>
    <r>
      <rPr>
        <sz val="10"/>
        <rFont val="Arial"/>
        <family val="0"/>
        <charset val="1"/>
      </rPr>
      <t xml:space="preserve">25 / 2021</t>
    </r>
    <r>
      <rPr>
        <sz val="10"/>
        <rFont val="Noto Sans CJK SC"/>
        <family val="2"/>
      </rPr>
      <t xml:space="preserve">年問</t>
    </r>
    <r>
      <rPr>
        <sz val="10"/>
        <rFont val="Arial"/>
        <family val="0"/>
        <charset val="1"/>
      </rPr>
      <t xml:space="preserve">20 / 2025</t>
    </r>
    <r>
      <rPr>
        <sz val="10"/>
        <rFont val="Noto Sans CJK SC"/>
        <family val="2"/>
      </rPr>
      <t xml:space="preserve">年問</t>
    </r>
    <r>
      <rPr>
        <sz val="10"/>
        <rFont val="Arial"/>
        <family val="0"/>
        <charset val="1"/>
      </rPr>
      <t xml:space="preserve">19</t>
    </r>
  </si>
  <si>
    <r>
      <rPr>
        <sz val="10"/>
        <rFont val="Arial"/>
        <family val="0"/>
        <charset val="1"/>
      </rPr>
      <t xml:space="preserve">GoF</t>
    </r>
    <r>
      <rPr>
        <sz val="10"/>
        <rFont val="Noto Sans CJK SC"/>
        <family val="2"/>
      </rPr>
      <t xml:space="preserve">のデザインパターンの説明</t>
    </r>
  </si>
  <si>
    <r>
      <rPr>
        <sz val="10"/>
        <rFont val="Arial"/>
        <family val="0"/>
        <charset val="1"/>
      </rPr>
      <t xml:space="preserve">2017</t>
    </r>
    <r>
      <rPr>
        <sz val="10"/>
        <rFont val="Noto Sans CJK SC"/>
        <family val="2"/>
      </rPr>
      <t xml:space="preserve">年問</t>
    </r>
    <r>
      <rPr>
        <sz val="10"/>
        <rFont val="Arial"/>
        <family val="0"/>
        <charset val="1"/>
      </rPr>
      <t xml:space="preserve">5 / 2019</t>
    </r>
    <r>
      <rPr>
        <sz val="10"/>
        <rFont val="Noto Sans CJK SC"/>
        <family val="2"/>
      </rPr>
      <t xml:space="preserve">年問</t>
    </r>
    <r>
      <rPr>
        <sz val="10"/>
        <rFont val="Arial"/>
        <family val="0"/>
        <charset val="1"/>
      </rPr>
      <t xml:space="preserve">3 / 2022</t>
    </r>
    <r>
      <rPr>
        <sz val="10"/>
        <rFont val="Noto Sans CJK SC"/>
        <family val="2"/>
      </rPr>
      <t xml:space="preserve">年問</t>
    </r>
    <r>
      <rPr>
        <sz val="10"/>
        <rFont val="Arial"/>
        <family val="0"/>
        <charset val="1"/>
      </rPr>
      <t xml:space="preserve">2</t>
    </r>
  </si>
  <si>
    <r>
      <rPr>
        <sz val="10"/>
        <rFont val="Arial"/>
        <family val="0"/>
        <charset val="1"/>
      </rPr>
      <t xml:space="preserve">WTO</t>
    </r>
    <r>
      <rPr>
        <sz val="10"/>
        <rFont val="Noto Sans CJK SC"/>
        <family val="2"/>
      </rPr>
      <t xml:space="preserve">政府調達協定の説明</t>
    </r>
  </si>
  <si>
    <r>
      <rPr>
        <sz val="10"/>
        <rFont val="Arial"/>
        <family val="0"/>
        <charset val="1"/>
      </rPr>
      <t xml:space="preserve">2018</t>
    </r>
    <r>
      <rPr>
        <sz val="10"/>
        <rFont val="Noto Sans CJK SC"/>
        <family val="2"/>
      </rPr>
      <t xml:space="preserve">年問</t>
    </r>
    <r>
      <rPr>
        <sz val="10"/>
        <rFont val="Arial"/>
        <family val="0"/>
        <charset val="1"/>
      </rPr>
      <t xml:space="preserve">15 / 2021</t>
    </r>
    <r>
      <rPr>
        <sz val="10"/>
        <rFont val="Noto Sans CJK SC"/>
        <family val="2"/>
      </rPr>
      <t xml:space="preserve">年問</t>
    </r>
    <r>
      <rPr>
        <sz val="10"/>
        <rFont val="Arial"/>
        <family val="0"/>
        <charset val="1"/>
      </rPr>
      <t xml:space="preserve">15 / 2023</t>
    </r>
    <r>
      <rPr>
        <sz val="10"/>
        <rFont val="Noto Sans CJK SC"/>
        <family val="2"/>
      </rPr>
      <t xml:space="preserve">年問</t>
    </r>
    <r>
      <rPr>
        <sz val="10"/>
        <rFont val="Arial"/>
        <family val="0"/>
        <charset val="1"/>
      </rPr>
      <t xml:space="preserve">14</t>
    </r>
  </si>
  <si>
    <r>
      <rPr>
        <sz val="10"/>
        <rFont val="Noto Sans CJK SC"/>
        <family val="2"/>
      </rPr>
      <t xml:space="preserve">カークパトリックモデル</t>
    </r>
    <r>
      <rPr>
        <sz val="10"/>
        <rFont val="Arial"/>
        <family val="0"/>
        <charset val="1"/>
      </rPr>
      <t xml:space="preserve">(</t>
    </r>
    <r>
      <rPr>
        <sz val="10"/>
        <rFont val="Noto Sans CJK SC"/>
        <family val="2"/>
      </rPr>
      <t xml:space="preserve">教育効果の測定</t>
    </r>
    <r>
      <rPr>
        <sz val="10"/>
        <rFont val="Arial"/>
        <family val="0"/>
        <charset val="1"/>
      </rPr>
      <t xml:space="preserve">)</t>
    </r>
  </si>
  <si>
    <r>
      <rPr>
        <sz val="10"/>
        <rFont val="Arial"/>
        <family val="0"/>
        <charset val="1"/>
      </rPr>
      <t xml:space="preserve">2015</t>
    </r>
    <r>
      <rPr>
        <sz val="10"/>
        <rFont val="Noto Sans CJK SC"/>
        <family val="2"/>
      </rPr>
      <t xml:space="preserve">年問</t>
    </r>
    <r>
      <rPr>
        <sz val="10"/>
        <rFont val="Arial"/>
        <family val="0"/>
        <charset val="1"/>
      </rPr>
      <t xml:space="preserve">12 / 2025</t>
    </r>
    <r>
      <rPr>
        <sz val="10"/>
        <rFont val="Noto Sans CJK SC"/>
        <family val="2"/>
      </rPr>
      <t xml:space="preserve">年問</t>
    </r>
    <r>
      <rPr>
        <sz val="10"/>
        <rFont val="Arial"/>
        <family val="0"/>
        <charset val="1"/>
      </rPr>
      <t xml:space="preserve">10</t>
    </r>
  </si>
  <si>
    <t xml:space="preserve">特定分野の業務知識・再利用部品の体系化</t>
  </si>
  <si>
    <r>
      <rPr>
        <sz val="10"/>
        <rFont val="Arial"/>
        <family val="0"/>
        <charset val="1"/>
      </rPr>
      <t xml:space="preserve">2015</t>
    </r>
    <r>
      <rPr>
        <sz val="10"/>
        <rFont val="Noto Sans CJK SC"/>
        <family val="2"/>
      </rPr>
      <t xml:space="preserve">年問</t>
    </r>
    <r>
      <rPr>
        <sz val="10"/>
        <rFont val="Arial"/>
        <family val="0"/>
        <charset val="1"/>
      </rPr>
      <t xml:space="preserve">13 / 2017</t>
    </r>
    <r>
      <rPr>
        <sz val="10"/>
        <rFont val="Noto Sans CJK SC"/>
        <family val="2"/>
      </rPr>
      <t xml:space="preserve">年問</t>
    </r>
    <r>
      <rPr>
        <sz val="10"/>
        <rFont val="Arial"/>
        <family val="0"/>
        <charset val="1"/>
      </rPr>
      <t xml:space="preserve">13</t>
    </r>
  </si>
  <si>
    <t xml:space="preserve">フォールトトレランスの説明</t>
  </si>
  <si>
    <r>
      <rPr>
        <sz val="10"/>
        <rFont val="Arial"/>
        <family val="0"/>
        <charset val="1"/>
      </rPr>
      <t xml:space="preserve">2015</t>
    </r>
    <r>
      <rPr>
        <sz val="10"/>
        <rFont val="Noto Sans CJK SC"/>
        <family val="2"/>
      </rPr>
      <t xml:space="preserve">年問</t>
    </r>
    <r>
      <rPr>
        <sz val="10"/>
        <rFont val="Arial"/>
        <family val="0"/>
        <charset val="1"/>
      </rPr>
      <t xml:space="preserve">19 / 2021</t>
    </r>
    <r>
      <rPr>
        <sz val="10"/>
        <rFont val="Noto Sans CJK SC"/>
        <family val="2"/>
      </rPr>
      <t xml:space="preserve">年問</t>
    </r>
    <r>
      <rPr>
        <sz val="10"/>
        <rFont val="Arial"/>
        <family val="0"/>
        <charset val="1"/>
      </rPr>
      <t xml:space="preserve">23</t>
    </r>
  </si>
  <si>
    <r>
      <rPr>
        <sz val="10"/>
        <rFont val="Noto Sans CJK SC"/>
        <family val="2"/>
      </rPr>
      <t xml:space="preserve">設計原則</t>
    </r>
    <r>
      <rPr>
        <sz val="10"/>
        <rFont val="Arial"/>
        <family val="0"/>
        <charset val="1"/>
      </rPr>
      <t xml:space="preserve">: </t>
    </r>
    <r>
      <rPr>
        <sz val="10"/>
        <rFont val="Noto Sans CJK SC"/>
        <family val="2"/>
      </rPr>
      <t xml:space="preserve">開放閉鎖原則</t>
    </r>
  </si>
  <si>
    <r>
      <rPr>
        <sz val="10"/>
        <rFont val="Arial"/>
        <family val="0"/>
        <charset val="1"/>
      </rPr>
      <t xml:space="preserve">2015</t>
    </r>
    <r>
      <rPr>
        <sz val="10"/>
        <rFont val="Noto Sans CJK SC"/>
        <family val="2"/>
      </rPr>
      <t xml:space="preserve">年問</t>
    </r>
    <r>
      <rPr>
        <sz val="10"/>
        <rFont val="Arial"/>
        <family val="0"/>
        <charset val="1"/>
      </rPr>
      <t xml:space="preserve">4 / 2025</t>
    </r>
    <r>
      <rPr>
        <sz val="10"/>
        <rFont val="Noto Sans CJK SC"/>
        <family val="2"/>
      </rPr>
      <t xml:space="preserve">年問</t>
    </r>
    <r>
      <rPr>
        <sz val="10"/>
        <rFont val="Arial"/>
        <family val="0"/>
        <charset val="1"/>
      </rPr>
      <t xml:space="preserve">2</t>
    </r>
  </si>
  <si>
    <t xml:space="preserve">ストラテジパターンによる帳票出力クラスの設計</t>
  </si>
  <si>
    <r>
      <rPr>
        <sz val="10"/>
        <rFont val="Arial"/>
        <family val="0"/>
        <charset val="1"/>
      </rPr>
      <t xml:space="preserve">2015</t>
    </r>
    <r>
      <rPr>
        <sz val="10"/>
        <rFont val="Noto Sans CJK SC"/>
        <family val="2"/>
      </rPr>
      <t xml:space="preserve">年問</t>
    </r>
    <r>
      <rPr>
        <sz val="10"/>
        <rFont val="Arial"/>
        <family val="0"/>
        <charset val="1"/>
      </rPr>
      <t xml:space="preserve">5 / 2022</t>
    </r>
    <r>
      <rPr>
        <sz val="10"/>
        <rFont val="Noto Sans CJK SC"/>
        <family val="2"/>
      </rPr>
      <t xml:space="preserve">年問</t>
    </r>
    <r>
      <rPr>
        <sz val="10"/>
        <rFont val="Arial"/>
        <family val="0"/>
        <charset val="1"/>
      </rPr>
      <t xml:space="preserve">5</t>
    </r>
  </si>
  <si>
    <r>
      <rPr>
        <sz val="10"/>
        <rFont val="Noto Sans CJK SC"/>
        <family val="2"/>
      </rPr>
      <t xml:space="preserve">中間キーと値の組を扱う並列処理</t>
    </r>
    <r>
      <rPr>
        <sz val="10"/>
        <rFont val="Arial"/>
        <family val="0"/>
        <charset val="1"/>
      </rPr>
      <t xml:space="preserve">(MapReduce)</t>
    </r>
  </si>
  <si>
    <r>
      <rPr>
        <sz val="10"/>
        <rFont val="Arial"/>
        <family val="0"/>
        <charset val="1"/>
      </rPr>
      <t xml:space="preserve">2015</t>
    </r>
    <r>
      <rPr>
        <sz val="10"/>
        <rFont val="Noto Sans CJK SC"/>
        <family val="2"/>
      </rPr>
      <t xml:space="preserve">年問</t>
    </r>
    <r>
      <rPr>
        <sz val="10"/>
        <rFont val="Arial"/>
        <family val="0"/>
        <charset val="1"/>
      </rPr>
      <t xml:space="preserve">6 / 2025</t>
    </r>
    <r>
      <rPr>
        <sz val="10"/>
        <rFont val="Noto Sans CJK SC"/>
        <family val="2"/>
      </rPr>
      <t xml:space="preserve">年問</t>
    </r>
    <r>
      <rPr>
        <sz val="10"/>
        <rFont val="Arial"/>
        <family val="0"/>
        <charset val="1"/>
      </rPr>
      <t xml:space="preserve">4</t>
    </r>
  </si>
  <si>
    <t xml:space="preserve">デザインパターンに関する記述</t>
  </si>
  <si>
    <r>
      <rPr>
        <sz val="10"/>
        <rFont val="Arial"/>
        <family val="0"/>
        <charset val="1"/>
      </rPr>
      <t xml:space="preserve">2015</t>
    </r>
    <r>
      <rPr>
        <sz val="10"/>
        <rFont val="Noto Sans CJK SC"/>
        <family val="2"/>
      </rPr>
      <t xml:space="preserve">年問</t>
    </r>
    <r>
      <rPr>
        <sz val="10"/>
        <rFont val="Arial"/>
        <family val="0"/>
        <charset val="1"/>
      </rPr>
      <t xml:space="preserve">7 / 2024</t>
    </r>
    <r>
      <rPr>
        <sz val="10"/>
        <rFont val="Noto Sans CJK SC"/>
        <family val="2"/>
      </rPr>
      <t xml:space="preserve">年問</t>
    </r>
    <r>
      <rPr>
        <sz val="10"/>
        <rFont val="Arial"/>
        <family val="0"/>
        <charset val="1"/>
      </rPr>
      <t xml:space="preserve">4</t>
    </r>
  </si>
  <si>
    <t xml:space="preserve">ブラックボックステストのテストケース設計</t>
  </si>
  <si>
    <r>
      <rPr>
        <sz val="10"/>
        <rFont val="Arial"/>
        <family val="0"/>
        <charset val="1"/>
      </rPr>
      <t xml:space="preserve">2015</t>
    </r>
    <r>
      <rPr>
        <sz val="10"/>
        <rFont val="Noto Sans CJK SC"/>
        <family val="2"/>
      </rPr>
      <t xml:space="preserve">年問</t>
    </r>
    <r>
      <rPr>
        <sz val="10"/>
        <rFont val="Arial"/>
        <family val="0"/>
        <charset val="1"/>
      </rPr>
      <t xml:space="preserve">8 / 2018</t>
    </r>
    <r>
      <rPr>
        <sz val="10"/>
        <rFont val="Noto Sans CJK SC"/>
        <family val="2"/>
      </rPr>
      <t xml:space="preserve">年問</t>
    </r>
    <r>
      <rPr>
        <sz val="10"/>
        <rFont val="Arial"/>
        <family val="0"/>
        <charset val="1"/>
      </rPr>
      <t xml:space="preserve">9</t>
    </r>
  </si>
  <si>
    <t xml:space="preserve">全数検査と出荷後故障の費用計算</t>
  </si>
  <si>
    <r>
      <rPr>
        <sz val="10"/>
        <rFont val="Arial"/>
        <family val="0"/>
        <charset val="1"/>
      </rPr>
      <t xml:space="preserve">2015</t>
    </r>
    <r>
      <rPr>
        <sz val="10"/>
        <rFont val="Noto Sans CJK SC"/>
        <family val="2"/>
      </rPr>
      <t xml:space="preserve">年問</t>
    </r>
    <r>
      <rPr>
        <sz val="10"/>
        <rFont val="Arial"/>
        <family val="0"/>
        <charset val="1"/>
      </rPr>
      <t xml:space="preserve">9 / 2018</t>
    </r>
    <r>
      <rPr>
        <sz val="10"/>
        <rFont val="Noto Sans CJK SC"/>
        <family val="2"/>
      </rPr>
      <t xml:space="preserve">年問</t>
    </r>
    <r>
      <rPr>
        <sz val="10"/>
        <rFont val="Arial"/>
        <family val="0"/>
        <charset val="1"/>
      </rPr>
      <t xml:space="preserve">10</t>
    </r>
  </si>
  <si>
    <t xml:space="preserve">ユースケース駆動開発の利点</t>
  </si>
  <si>
    <r>
      <rPr>
        <sz val="10"/>
        <rFont val="Arial"/>
        <family val="0"/>
        <charset val="1"/>
      </rPr>
      <t xml:space="preserve">2016</t>
    </r>
    <r>
      <rPr>
        <sz val="10"/>
        <rFont val="Noto Sans CJK SC"/>
        <family val="2"/>
      </rPr>
      <t xml:space="preserve">年問</t>
    </r>
    <r>
      <rPr>
        <sz val="10"/>
        <rFont val="Arial"/>
        <family val="0"/>
        <charset val="1"/>
      </rPr>
      <t xml:space="preserve">13 / 2025</t>
    </r>
    <r>
      <rPr>
        <sz val="10"/>
        <rFont val="Noto Sans CJK SC"/>
        <family val="2"/>
      </rPr>
      <t xml:space="preserve">年問</t>
    </r>
    <r>
      <rPr>
        <sz val="10"/>
        <rFont val="Arial"/>
        <family val="0"/>
        <charset val="1"/>
      </rPr>
      <t xml:space="preserve">11</t>
    </r>
  </si>
  <si>
    <r>
      <rPr>
        <sz val="10"/>
        <rFont val="Noto Sans CJK SC"/>
        <family val="2"/>
      </rPr>
      <t xml:space="preserve">外部記憶装置を結ぶ専用高速ネットワーク</t>
    </r>
    <r>
      <rPr>
        <sz val="10"/>
        <rFont val="Arial"/>
        <family val="0"/>
        <charset val="1"/>
      </rPr>
      <t xml:space="preserve">(SAN)</t>
    </r>
  </si>
  <si>
    <r>
      <rPr>
        <sz val="10"/>
        <rFont val="Arial"/>
        <family val="0"/>
        <charset val="1"/>
      </rPr>
      <t xml:space="preserve">2016</t>
    </r>
    <r>
      <rPr>
        <sz val="10"/>
        <rFont val="Noto Sans CJK SC"/>
        <family val="2"/>
      </rPr>
      <t xml:space="preserve">年問</t>
    </r>
    <r>
      <rPr>
        <sz val="10"/>
        <rFont val="Arial"/>
        <family val="0"/>
        <charset val="1"/>
      </rPr>
      <t xml:space="preserve">22 / 2018</t>
    </r>
    <r>
      <rPr>
        <sz val="10"/>
        <rFont val="Noto Sans CJK SC"/>
        <family val="2"/>
      </rPr>
      <t xml:space="preserve">年問</t>
    </r>
    <r>
      <rPr>
        <sz val="10"/>
        <rFont val="Arial"/>
        <family val="0"/>
        <charset val="1"/>
      </rPr>
      <t xml:space="preserve">22</t>
    </r>
  </si>
  <si>
    <r>
      <rPr>
        <sz val="10"/>
        <rFont val="Noto Sans CJK SC"/>
        <family val="2"/>
      </rPr>
      <t xml:space="preserve">並行事象の同期を表す要求モデル</t>
    </r>
    <r>
      <rPr>
        <sz val="10"/>
        <rFont val="Arial"/>
        <family val="0"/>
        <charset val="1"/>
      </rPr>
      <t xml:space="preserve">(</t>
    </r>
    <r>
      <rPr>
        <sz val="10"/>
        <rFont val="Noto Sans CJK SC"/>
        <family val="2"/>
      </rPr>
      <t xml:space="preserve">ペトリネット</t>
    </r>
    <r>
      <rPr>
        <sz val="10"/>
        <rFont val="Arial"/>
        <family val="0"/>
        <charset val="1"/>
      </rPr>
      <t xml:space="preserve">)</t>
    </r>
  </si>
  <si>
    <r>
      <rPr>
        <sz val="10"/>
        <rFont val="Arial"/>
        <family val="0"/>
        <charset val="1"/>
      </rPr>
      <t xml:space="preserve">2016</t>
    </r>
    <r>
      <rPr>
        <sz val="10"/>
        <rFont val="Noto Sans CJK SC"/>
        <family val="2"/>
      </rPr>
      <t xml:space="preserve">年問</t>
    </r>
    <r>
      <rPr>
        <sz val="10"/>
        <rFont val="Arial"/>
        <family val="0"/>
        <charset val="1"/>
      </rPr>
      <t xml:space="preserve">4 / 2019</t>
    </r>
    <r>
      <rPr>
        <sz val="10"/>
        <rFont val="Noto Sans CJK SC"/>
        <family val="2"/>
      </rPr>
      <t xml:space="preserve">年問</t>
    </r>
    <r>
      <rPr>
        <sz val="10"/>
        <rFont val="Arial"/>
        <family val="0"/>
        <charset val="1"/>
      </rPr>
      <t xml:space="preserve">2</t>
    </r>
  </si>
  <si>
    <r>
      <rPr>
        <sz val="10"/>
        <rFont val="Noto Sans CJK SC"/>
        <family val="2"/>
      </rPr>
      <t xml:space="preserve">アジャイルの</t>
    </r>
    <r>
      <rPr>
        <sz val="10"/>
        <rFont val="Arial"/>
        <family val="0"/>
        <charset val="1"/>
      </rPr>
      <t xml:space="preserve">INVEST</t>
    </r>
  </si>
  <si>
    <r>
      <rPr>
        <sz val="10"/>
        <rFont val="Arial"/>
        <family val="0"/>
        <charset val="1"/>
      </rPr>
      <t xml:space="preserve">2017</t>
    </r>
    <r>
      <rPr>
        <sz val="10"/>
        <rFont val="Noto Sans CJK SC"/>
        <family val="2"/>
      </rPr>
      <t xml:space="preserve">年問</t>
    </r>
    <r>
      <rPr>
        <sz val="10"/>
        <rFont val="Arial"/>
        <family val="0"/>
        <charset val="1"/>
      </rPr>
      <t xml:space="preserve">1 / 2024</t>
    </r>
    <r>
      <rPr>
        <sz val="10"/>
        <rFont val="Noto Sans CJK SC"/>
        <family val="2"/>
      </rPr>
      <t xml:space="preserve">年問</t>
    </r>
    <r>
      <rPr>
        <sz val="10"/>
        <rFont val="Arial"/>
        <family val="0"/>
        <charset val="1"/>
      </rPr>
      <t xml:space="preserve">1</t>
    </r>
  </si>
  <si>
    <r>
      <rPr>
        <sz val="10"/>
        <rFont val="Arial"/>
        <family val="0"/>
        <charset val="1"/>
      </rPr>
      <t xml:space="preserve">FMEA</t>
    </r>
    <r>
      <rPr>
        <sz val="10"/>
        <rFont val="Noto Sans CJK SC"/>
        <family val="2"/>
      </rPr>
      <t xml:space="preserve">の説明</t>
    </r>
  </si>
  <si>
    <r>
      <rPr>
        <sz val="10"/>
        <rFont val="Arial"/>
        <family val="0"/>
        <charset val="1"/>
      </rPr>
      <t xml:space="preserve">2017</t>
    </r>
    <r>
      <rPr>
        <sz val="10"/>
        <rFont val="Noto Sans CJK SC"/>
        <family val="2"/>
      </rPr>
      <t xml:space="preserve">年問</t>
    </r>
    <r>
      <rPr>
        <sz val="10"/>
        <rFont val="Arial"/>
        <family val="0"/>
        <charset val="1"/>
      </rPr>
      <t xml:space="preserve">12 / 2022</t>
    </r>
    <r>
      <rPr>
        <sz val="10"/>
        <rFont val="Noto Sans CJK SC"/>
        <family val="2"/>
      </rPr>
      <t xml:space="preserve">年問</t>
    </r>
    <r>
      <rPr>
        <sz val="10"/>
        <rFont val="Arial"/>
        <family val="0"/>
        <charset val="1"/>
      </rPr>
      <t xml:space="preserve">10</t>
    </r>
  </si>
  <si>
    <t xml:space="preserve">グラントバックの説明</t>
  </si>
  <si>
    <r>
      <rPr>
        <sz val="10"/>
        <rFont val="Arial"/>
        <family val="0"/>
        <charset val="1"/>
      </rPr>
      <t xml:space="preserve">2017</t>
    </r>
    <r>
      <rPr>
        <sz val="10"/>
        <rFont val="Noto Sans CJK SC"/>
        <family val="2"/>
      </rPr>
      <t xml:space="preserve">年問</t>
    </r>
    <r>
      <rPr>
        <sz val="10"/>
        <rFont val="Arial"/>
        <family val="0"/>
        <charset val="1"/>
      </rPr>
      <t xml:space="preserve">15 / 2019</t>
    </r>
    <r>
      <rPr>
        <sz val="10"/>
        <rFont val="Noto Sans CJK SC"/>
        <family val="2"/>
      </rPr>
      <t xml:space="preserve">年問</t>
    </r>
    <r>
      <rPr>
        <sz val="10"/>
        <rFont val="Arial"/>
        <family val="0"/>
        <charset val="1"/>
      </rPr>
      <t xml:space="preserve">16</t>
    </r>
  </si>
  <si>
    <r>
      <rPr>
        <sz val="10"/>
        <rFont val="Noto Sans CJK SC"/>
        <family val="2"/>
      </rPr>
      <t xml:space="preserve">ネットワーク対戦ゲームの仕組み</t>
    </r>
    <r>
      <rPr>
        <sz val="10"/>
        <rFont val="Arial"/>
        <family val="0"/>
        <charset val="1"/>
      </rPr>
      <t xml:space="preserve">(RPC)</t>
    </r>
  </si>
  <si>
    <r>
      <rPr>
        <sz val="10"/>
        <rFont val="Arial"/>
        <family val="0"/>
        <charset val="1"/>
      </rPr>
      <t xml:space="preserve">2017</t>
    </r>
    <r>
      <rPr>
        <sz val="10"/>
        <rFont val="Noto Sans CJK SC"/>
        <family val="2"/>
      </rPr>
      <t xml:space="preserve">年問</t>
    </r>
    <r>
      <rPr>
        <sz val="10"/>
        <rFont val="Arial"/>
        <family val="0"/>
        <charset val="1"/>
      </rPr>
      <t xml:space="preserve">19 / 2023</t>
    </r>
    <r>
      <rPr>
        <sz val="10"/>
        <rFont val="Noto Sans CJK SC"/>
        <family val="2"/>
      </rPr>
      <t xml:space="preserve">年問</t>
    </r>
    <r>
      <rPr>
        <sz val="10"/>
        <rFont val="Arial"/>
        <family val="0"/>
        <charset val="1"/>
      </rPr>
      <t xml:space="preserve">22</t>
    </r>
  </si>
  <si>
    <r>
      <rPr>
        <sz val="10"/>
        <rFont val="Arial"/>
        <family val="0"/>
        <charset val="1"/>
      </rPr>
      <t xml:space="preserve">AES</t>
    </r>
    <r>
      <rPr>
        <sz val="10"/>
        <rFont val="Noto Sans CJK SC"/>
        <family val="2"/>
      </rPr>
      <t xml:space="preserve">の鍵長</t>
    </r>
  </si>
  <si>
    <r>
      <rPr>
        <sz val="10"/>
        <rFont val="Arial"/>
        <family val="0"/>
        <charset val="1"/>
      </rPr>
      <t xml:space="preserve">2017</t>
    </r>
    <r>
      <rPr>
        <sz val="10"/>
        <rFont val="Noto Sans CJK SC"/>
        <family val="2"/>
      </rPr>
      <t xml:space="preserve">年問</t>
    </r>
    <r>
      <rPr>
        <sz val="10"/>
        <rFont val="Arial"/>
        <family val="0"/>
        <charset val="1"/>
      </rPr>
      <t xml:space="preserve">24 / 2024</t>
    </r>
    <r>
      <rPr>
        <sz val="10"/>
        <rFont val="Noto Sans CJK SC"/>
        <family val="2"/>
      </rPr>
      <t xml:space="preserve">年問</t>
    </r>
    <r>
      <rPr>
        <sz val="10"/>
        <rFont val="Arial"/>
        <family val="0"/>
        <charset val="1"/>
      </rPr>
      <t xml:space="preserve">18</t>
    </r>
  </si>
  <si>
    <r>
      <rPr>
        <sz val="10"/>
        <rFont val="Arial"/>
        <family val="0"/>
        <charset val="1"/>
      </rPr>
      <t xml:space="preserve">SoS(</t>
    </r>
    <r>
      <rPr>
        <sz val="10"/>
        <rFont val="Noto Sans CJK SC"/>
        <family val="2"/>
      </rPr>
      <t xml:space="preserve">システムオブシステムズ</t>
    </r>
    <r>
      <rPr>
        <sz val="10"/>
        <rFont val="Arial"/>
        <family val="0"/>
        <charset val="1"/>
      </rPr>
      <t xml:space="preserve">)</t>
    </r>
    <r>
      <rPr>
        <sz val="10"/>
        <rFont val="Noto Sans CJK SC"/>
        <family val="2"/>
      </rPr>
      <t xml:space="preserve">のモデル化</t>
    </r>
  </si>
  <si>
    <r>
      <rPr>
        <sz val="10"/>
        <rFont val="Arial"/>
        <family val="0"/>
        <charset val="1"/>
      </rPr>
      <t xml:space="preserve">2017</t>
    </r>
    <r>
      <rPr>
        <sz val="10"/>
        <rFont val="Noto Sans CJK SC"/>
        <family val="2"/>
      </rPr>
      <t xml:space="preserve">年問</t>
    </r>
    <r>
      <rPr>
        <sz val="10"/>
        <rFont val="Arial"/>
        <family val="0"/>
        <charset val="1"/>
      </rPr>
      <t xml:space="preserve">4 / 2023</t>
    </r>
    <r>
      <rPr>
        <sz val="10"/>
        <rFont val="Noto Sans CJK SC"/>
        <family val="2"/>
      </rPr>
      <t xml:space="preserve">年問</t>
    </r>
    <r>
      <rPr>
        <sz val="10"/>
        <rFont val="Arial"/>
        <family val="0"/>
        <charset val="1"/>
      </rPr>
      <t xml:space="preserve">3</t>
    </r>
  </si>
  <si>
    <t xml:space="preserve">イベント駆動アプリのタイミング設計</t>
  </si>
  <si>
    <r>
      <rPr>
        <sz val="10"/>
        <rFont val="Arial"/>
        <family val="0"/>
        <charset val="1"/>
      </rPr>
      <t xml:space="preserve">2017</t>
    </r>
    <r>
      <rPr>
        <sz val="10"/>
        <rFont val="Noto Sans CJK SC"/>
        <family val="2"/>
      </rPr>
      <t xml:space="preserve">年問</t>
    </r>
    <r>
      <rPr>
        <sz val="10"/>
        <rFont val="Arial"/>
        <family val="0"/>
        <charset val="1"/>
      </rPr>
      <t xml:space="preserve">7 / 2021</t>
    </r>
    <r>
      <rPr>
        <sz val="10"/>
        <rFont val="Noto Sans CJK SC"/>
        <family val="2"/>
      </rPr>
      <t xml:space="preserve">年問</t>
    </r>
    <r>
      <rPr>
        <sz val="10"/>
        <rFont val="Arial"/>
        <family val="0"/>
        <charset val="1"/>
      </rPr>
      <t xml:space="preserve">4</t>
    </r>
  </si>
  <si>
    <r>
      <rPr>
        <sz val="10"/>
        <rFont val="Noto Sans CJK SC"/>
        <family val="2"/>
      </rPr>
      <t xml:space="preserve">共通フレーム</t>
    </r>
    <r>
      <rPr>
        <sz val="10"/>
        <rFont val="Arial"/>
        <family val="0"/>
        <charset val="1"/>
      </rPr>
      <t xml:space="preserve">2013: </t>
    </r>
    <r>
      <rPr>
        <sz val="10"/>
        <rFont val="Noto Sans CJK SC"/>
        <family val="2"/>
      </rPr>
      <t xml:space="preserve">システム適格性確認テスト</t>
    </r>
  </si>
  <si>
    <r>
      <rPr>
        <sz val="10"/>
        <rFont val="Arial"/>
        <family val="0"/>
        <charset val="1"/>
      </rPr>
      <t xml:space="preserve">2018</t>
    </r>
    <r>
      <rPr>
        <sz val="10"/>
        <rFont val="Noto Sans CJK SC"/>
        <family val="2"/>
      </rPr>
      <t xml:space="preserve">年問</t>
    </r>
    <r>
      <rPr>
        <sz val="10"/>
        <rFont val="Arial"/>
        <family val="0"/>
        <charset val="1"/>
      </rPr>
      <t xml:space="preserve">12 / 2021</t>
    </r>
    <r>
      <rPr>
        <sz val="10"/>
        <rFont val="Noto Sans CJK SC"/>
        <family val="2"/>
      </rPr>
      <t xml:space="preserve">年問</t>
    </r>
    <r>
      <rPr>
        <sz val="10"/>
        <rFont val="Arial"/>
        <family val="0"/>
        <charset val="1"/>
      </rPr>
      <t xml:space="preserve">9</t>
    </r>
  </si>
  <si>
    <r>
      <rPr>
        <sz val="10"/>
        <rFont val="Noto Sans CJK SC"/>
        <family val="2"/>
      </rPr>
      <t xml:space="preserve">スクラムの振り返り</t>
    </r>
    <r>
      <rPr>
        <sz val="10"/>
        <rFont val="Arial"/>
        <family val="0"/>
        <charset val="1"/>
      </rPr>
      <t xml:space="preserve">(</t>
    </r>
    <r>
      <rPr>
        <sz val="10"/>
        <rFont val="Noto Sans CJK SC"/>
        <family val="2"/>
      </rPr>
      <t xml:space="preserve">レトロスペクティブ</t>
    </r>
    <r>
      <rPr>
        <sz val="10"/>
        <rFont val="Arial"/>
        <family val="0"/>
        <charset val="1"/>
      </rPr>
      <t xml:space="preserve">)</t>
    </r>
  </si>
  <si>
    <r>
      <rPr>
        <sz val="10"/>
        <rFont val="Arial"/>
        <family val="0"/>
        <charset val="1"/>
      </rPr>
      <t xml:space="preserve">2018</t>
    </r>
    <r>
      <rPr>
        <sz val="10"/>
        <rFont val="Noto Sans CJK SC"/>
        <family val="2"/>
      </rPr>
      <t xml:space="preserve">年問</t>
    </r>
    <r>
      <rPr>
        <sz val="10"/>
        <rFont val="Arial"/>
        <family val="0"/>
        <charset val="1"/>
      </rPr>
      <t xml:space="preserve">13 / 2023</t>
    </r>
    <r>
      <rPr>
        <sz val="10"/>
        <rFont val="Noto Sans CJK SC"/>
        <family val="2"/>
      </rPr>
      <t xml:space="preserve">年問</t>
    </r>
    <r>
      <rPr>
        <sz val="10"/>
        <rFont val="Arial"/>
        <family val="0"/>
        <charset val="1"/>
      </rPr>
      <t xml:space="preserve">12</t>
    </r>
  </si>
  <si>
    <t xml:space="preserve">格納型クロスサイトスクリプティング</t>
  </si>
  <si>
    <r>
      <rPr>
        <sz val="10"/>
        <rFont val="Arial"/>
        <family val="0"/>
        <charset val="1"/>
      </rPr>
      <t xml:space="preserve">2018</t>
    </r>
    <r>
      <rPr>
        <sz val="10"/>
        <rFont val="Noto Sans CJK SC"/>
        <family val="2"/>
      </rPr>
      <t xml:space="preserve">年問</t>
    </r>
    <r>
      <rPr>
        <sz val="10"/>
        <rFont val="Arial"/>
        <family val="0"/>
        <charset val="1"/>
      </rPr>
      <t xml:space="preserve">23 / 2021</t>
    </r>
    <r>
      <rPr>
        <sz val="10"/>
        <rFont val="Noto Sans CJK SC"/>
        <family val="2"/>
      </rPr>
      <t xml:space="preserve">年問</t>
    </r>
    <r>
      <rPr>
        <sz val="10"/>
        <rFont val="Arial"/>
        <family val="0"/>
        <charset val="1"/>
      </rPr>
      <t xml:space="preserve">17</t>
    </r>
  </si>
  <si>
    <r>
      <rPr>
        <sz val="10"/>
        <rFont val="Arial"/>
        <family val="0"/>
        <charset val="1"/>
      </rPr>
      <t xml:space="preserve">JIS X 25010</t>
    </r>
    <r>
      <rPr>
        <sz val="10"/>
        <rFont val="Noto Sans CJK SC"/>
        <family val="2"/>
      </rPr>
      <t xml:space="preserve">の品質特性</t>
    </r>
  </si>
  <si>
    <r>
      <rPr>
        <sz val="10"/>
        <rFont val="Arial"/>
        <family val="0"/>
        <charset val="1"/>
      </rPr>
      <t xml:space="preserve">2018</t>
    </r>
    <r>
      <rPr>
        <sz val="10"/>
        <rFont val="Noto Sans CJK SC"/>
        <family val="2"/>
      </rPr>
      <t xml:space="preserve">年問</t>
    </r>
    <r>
      <rPr>
        <sz val="10"/>
        <rFont val="Arial"/>
        <family val="0"/>
        <charset val="1"/>
      </rPr>
      <t xml:space="preserve">6 / 2023</t>
    </r>
    <r>
      <rPr>
        <sz val="10"/>
        <rFont val="Noto Sans CJK SC"/>
        <family val="2"/>
      </rPr>
      <t xml:space="preserve">年問</t>
    </r>
    <r>
      <rPr>
        <sz val="10"/>
        <rFont val="Arial"/>
        <family val="0"/>
        <charset val="1"/>
      </rPr>
      <t xml:space="preserve">8</t>
    </r>
  </si>
  <si>
    <r>
      <rPr>
        <sz val="10"/>
        <rFont val="Noto Sans CJK SC"/>
        <family val="2"/>
      </rPr>
      <t xml:space="preserve">階層化</t>
    </r>
    <r>
      <rPr>
        <sz val="10"/>
        <rFont val="Arial"/>
        <family val="0"/>
        <charset val="1"/>
      </rPr>
      <t xml:space="preserve">DFD</t>
    </r>
    <r>
      <rPr>
        <sz val="10"/>
        <rFont val="Noto Sans CJK SC"/>
        <family val="2"/>
      </rPr>
      <t xml:space="preserve">の子プロセス分割</t>
    </r>
  </si>
  <si>
    <r>
      <rPr>
        <sz val="10"/>
        <rFont val="Arial"/>
        <family val="0"/>
        <charset val="1"/>
      </rPr>
      <t xml:space="preserve">2019</t>
    </r>
    <r>
      <rPr>
        <sz val="10"/>
        <rFont val="Noto Sans CJK SC"/>
        <family val="2"/>
      </rPr>
      <t xml:space="preserve">年問</t>
    </r>
    <r>
      <rPr>
        <sz val="10"/>
        <rFont val="Arial"/>
        <family val="0"/>
        <charset val="1"/>
      </rPr>
      <t xml:space="preserve">1 / 2023</t>
    </r>
    <r>
      <rPr>
        <sz val="10"/>
        <rFont val="Noto Sans CJK SC"/>
        <family val="2"/>
      </rPr>
      <t xml:space="preserve">年問</t>
    </r>
    <r>
      <rPr>
        <sz val="10"/>
        <rFont val="Arial"/>
        <family val="0"/>
        <charset val="1"/>
      </rPr>
      <t xml:space="preserve">2</t>
    </r>
  </si>
  <si>
    <t xml:space="preserve">バグ管理図によるテスト進捗と品質の判断</t>
  </si>
  <si>
    <r>
      <rPr>
        <sz val="10"/>
        <rFont val="Arial"/>
        <family val="0"/>
        <charset val="1"/>
      </rPr>
      <t xml:space="preserve">2019</t>
    </r>
    <r>
      <rPr>
        <sz val="10"/>
        <rFont val="Noto Sans CJK SC"/>
        <family val="2"/>
      </rPr>
      <t xml:space="preserve">年問</t>
    </r>
    <r>
      <rPr>
        <sz val="10"/>
        <rFont val="Arial"/>
        <family val="0"/>
        <charset val="1"/>
      </rPr>
      <t xml:space="preserve">11 / 2022</t>
    </r>
    <r>
      <rPr>
        <sz val="10"/>
        <rFont val="Noto Sans CJK SC"/>
        <family val="2"/>
      </rPr>
      <t xml:space="preserve">年問</t>
    </r>
    <r>
      <rPr>
        <sz val="10"/>
        <rFont val="Arial"/>
        <family val="0"/>
        <charset val="1"/>
      </rPr>
      <t xml:space="preserve">9</t>
    </r>
  </si>
  <si>
    <r>
      <rPr>
        <sz val="10"/>
        <rFont val="Noto Sans CJK SC"/>
        <family val="2"/>
      </rPr>
      <t xml:space="preserve">チャットボット</t>
    </r>
    <r>
      <rPr>
        <sz val="10"/>
        <rFont val="Arial"/>
        <family val="0"/>
        <charset val="1"/>
      </rPr>
      <t xml:space="preserve">(AI)</t>
    </r>
  </si>
  <si>
    <r>
      <rPr>
        <sz val="10"/>
        <rFont val="Arial"/>
        <family val="0"/>
        <charset val="1"/>
      </rPr>
      <t xml:space="preserve">2019</t>
    </r>
    <r>
      <rPr>
        <sz val="10"/>
        <rFont val="Noto Sans CJK SC"/>
        <family val="2"/>
      </rPr>
      <t xml:space="preserve">年問</t>
    </r>
    <r>
      <rPr>
        <sz val="10"/>
        <rFont val="Arial"/>
        <family val="0"/>
        <charset val="1"/>
      </rPr>
      <t xml:space="preserve">12 / 2023</t>
    </r>
    <r>
      <rPr>
        <sz val="10"/>
        <rFont val="Noto Sans CJK SC"/>
        <family val="2"/>
      </rPr>
      <t xml:space="preserve">年問</t>
    </r>
    <r>
      <rPr>
        <sz val="10"/>
        <rFont val="Arial"/>
        <family val="0"/>
        <charset val="1"/>
      </rPr>
      <t xml:space="preserve">7</t>
    </r>
  </si>
  <si>
    <t xml:space="preserve">共通鍵暗号方式</t>
  </si>
  <si>
    <r>
      <rPr>
        <sz val="10"/>
        <rFont val="Arial"/>
        <family val="0"/>
        <charset val="1"/>
      </rPr>
      <t xml:space="preserve">2019</t>
    </r>
    <r>
      <rPr>
        <sz val="10"/>
        <rFont val="Noto Sans CJK SC"/>
        <family val="2"/>
      </rPr>
      <t xml:space="preserve">年問</t>
    </r>
    <r>
      <rPr>
        <sz val="10"/>
        <rFont val="Arial"/>
        <family val="0"/>
        <charset val="1"/>
      </rPr>
      <t xml:space="preserve">24 / 2023</t>
    </r>
    <r>
      <rPr>
        <sz val="10"/>
        <rFont val="Noto Sans CJK SC"/>
        <family val="2"/>
      </rPr>
      <t xml:space="preserve">年問</t>
    </r>
    <r>
      <rPr>
        <sz val="10"/>
        <rFont val="Arial"/>
        <family val="0"/>
        <charset val="1"/>
      </rPr>
      <t xml:space="preserve">17</t>
    </r>
  </si>
  <si>
    <r>
      <rPr>
        <sz val="10"/>
        <rFont val="Arial"/>
        <family val="0"/>
        <charset val="1"/>
      </rPr>
      <t xml:space="preserve">Java</t>
    </r>
    <r>
      <rPr>
        <sz val="10"/>
        <rFont val="Noto Sans CJK SC"/>
        <family val="2"/>
      </rPr>
      <t xml:space="preserve">サーブレット</t>
    </r>
    <r>
      <rPr>
        <sz val="10"/>
        <rFont val="Arial"/>
        <family val="0"/>
        <charset val="1"/>
      </rPr>
      <t xml:space="preserve">(doGet/doPost)</t>
    </r>
  </si>
  <si>
    <r>
      <rPr>
        <sz val="10"/>
        <rFont val="Arial"/>
        <family val="0"/>
        <charset val="1"/>
      </rPr>
      <t xml:space="preserve">2019</t>
    </r>
    <r>
      <rPr>
        <sz val="10"/>
        <rFont val="Noto Sans CJK SC"/>
        <family val="2"/>
      </rPr>
      <t xml:space="preserve">年問</t>
    </r>
    <r>
      <rPr>
        <sz val="10"/>
        <rFont val="Arial"/>
        <family val="0"/>
        <charset val="1"/>
      </rPr>
      <t xml:space="preserve">4 / 2023</t>
    </r>
    <r>
      <rPr>
        <sz val="10"/>
        <rFont val="Noto Sans CJK SC"/>
        <family val="2"/>
      </rPr>
      <t xml:space="preserve">年問</t>
    </r>
    <r>
      <rPr>
        <sz val="10"/>
        <rFont val="Arial"/>
        <family val="0"/>
        <charset val="1"/>
      </rPr>
      <t xml:space="preserve">5</t>
    </r>
  </si>
  <si>
    <r>
      <rPr>
        <sz val="10"/>
        <rFont val="Noto Sans CJK SC"/>
        <family val="2"/>
      </rPr>
      <t xml:space="preserve">アサーション</t>
    </r>
    <r>
      <rPr>
        <sz val="10"/>
        <rFont val="Arial"/>
        <family val="0"/>
        <charset val="1"/>
      </rPr>
      <t xml:space="preserve">(</t>
    </r>
    <r>
      <rPr>
        <sz val="10"/>
        <rFont val="Noto Sans CJK SC"/>
        <family val="2"/>
      </rPr>
      <t xml:space="preserve">論理式の埋込み</t>
    </r>
    <r>
      <rPr>
        <sz val="10"/>
        <rFont val="Arial"/>
        <family val="0"/>
        <charset val="1"/>
      </rPr>
      <t xml:space="preserve">)</t>
    </r>
  </si>
  <si>
    <r>
      <rPr>
        <sz val="10"/>
        <rFont val="Arial"/>
        <family val="0"/>
        <charset val="1"/>
      </rPr>
      <t xml:space="preserve">2019</t>
    </r>
    <r>
      <rPr>
        <sz val="10"/>
        <rFont val="Noto Sans CJK SC"/>
        <family val="2"/>
      </rPr>
      <t xml:space="preserve">年問</t>
    </r>
    <r>
      <rPr>
        <sz val="10"/>
        <rFont val="Arial"/>
        <family val="0"/>
        <charset val="1"/>
      </rPr>
      <t xml:space="preserve">8 / 2024</t>
    </r>
    <r>
      <rPr>
        <sz val="10"/>
        <rFont val="Noto Sans CJK SC"/>
        <family val="2"/>
      </rPr>
      <t xml:space="preserve">年問</t>
    </r>
    <r>
      <rPr>
        <sz val="10"/>
        <rFont val="Arial"/>
        <family val="0"/>
        <charset val="1"/>
      </rPr>
      <t xml:space="preserve">6</t>
    </r>
  </si>
  <si>
    <r>
      <rPr>
        <sz val="10"/>
        <rFont val="Arial"/>
        <family val="0"/>
        <charset val="1"/>
      </rPr>
      <t xml:space="preserve">2021</t>
    </r>
    <r>
      <rPr>
        <sz val="10"/>
        <rFont val="Noto Sans CJK SC"/>
        <family val="2"/>
      </rPr>
      <t xml:space="preserve">年問</t>
    </r>
    <r>
      <rPr>
        <sz val="10"/>
        <rFont val="Arial"/>
        <family val="0"/>
        <charset val="1"/>
      </rPr>
      <t xml:space="preserve">1 / 2023</t>
    </r>
    <r>
      <rPr>
        <sz val="10"/>
        <rFont val="Noto Sans CJK SC"/>
        <family val="2"/>
      </rPr>
      <t xml:space="preserve">年問</t>
    </r>
    <r>
      <rPr>
        <sz val="10"/>
        <rFont val="Arial"/>
        <family val="0"/>
        <charset val="1"/>
      </rPr>
      <t xml:space="preserve">1</t>
    </r>
  </si>
  <si>
    <r>
      <rPr>
        <sz val="10"/>
        <rFont val="Noto Sans CJK SC"/>
        <family val="2"/>
      </rPr>
      <t xml:space="preserve">要件定義</t>
    </r>
    <r>
      <rPr>
        <sz val="10"/>
        <rFont val="Arial"/>
        <family val="0"/>
        <charset val="1"/>
      </rPr>
      <t xml:space="preserve">: </t>
    </r>
    <r>
      <rPr>
        <sz val="10"/>
        <rFont val="Noto Sans CJK SC"/>
        <family val="2"/>
      </rPr>
      <t xml:space="preserve">機能単位と利用者・外部システムの相互作用</t>
    </r>
  </si>
  <si>
    <r>
      <rPr>
        <sz val="10"/>
        <rFont val="Arial"/>
        <family val="0"/>
        <charset val="1"/>
      </rPr>
      <t xml:space="preserve">2021</t>
    </r>
    <r>
      <rPr>
        <sz val="10"/>
        <rFont val="Noto Sans CJK SC"/>
        <family val="2"/>
      </rPr>
      <t xml:space="preserve">年問</t>
    </r>
    <r>
      <rPr>
        <sz val="10"/>
        <rFont val="Arial"/>
        <family val="0"/>
        <charset val="1"/>
      </rPr>
      <t xml:space="preserve">14 / 2025</t>
    </r>
    <r>
      <rPr>
        <sz val="10"/>
        <rFont val="Noto Sans CJK SC"/>
        <family val="2"/>
      </rPr>
      <t xml:space="preserve">年問</t>
    </r>
    <r>
      <rPr>
        <sz val="10"/>
        <rFont val="Arial"/>
        <family val="0"/>
        <charset val="1"/>
      </rPr>
      <t xml:space="preserve">13</t>
    </r>
  </si>
  <si>
    <t xml:space="preserve">証明書失効のオンライン確認プロトコル</t>
  </si>
  <si>
    <r>
      <rPr>
        <sz val="10"/>
        <rFont val="Arial"/>
        <family val="0"/>
        <charset val="1"/>
      </rPr>
      <t xml:space="preserve">2021</t>
    </r>
    <r>
      <rPr>
        <sz val="10"/>
        <rFont val="Noto Sans CJK SC"/>
        <family val="2"/>
      </rPr>
      <t xml:space="preserve">年問</t>
    </r>
    <r>
      <rPr>
        <sz val="10"/>
        <rFont val="Arial"/>
        <family val="0"/>
        <charset val="1"/>
      </rPr>
      <t xml:space="preserve">18 / 2024</t>
    </r>
    <r>
      <rPr>
        <sz val="10"/>
        <rFont val="Noto Sans CJK SC"/>
        <family val="2"/>
      </rPr>
      <t xml:space="preserve">年問</t>
    </r>
    <r>
      <rPr>
        <sz val="10"/>
        <rFont val="Arial"/>
        <family val="0"/>
        <charset val="1"/>
      </rPr>
      <t xml:space="preserve">19</t>
    </r>
  </si>
  <si>
    <r>
      <rPr>
        <sz val="10"/>
        <rFont val="Noto Sans CJK SC"/>
        <family val="2"/>
      </rPr>
      <t xml:space="preserve">引数の受渡し方</t>
    </r>
    <r>
      <rPr>
        <sz val="10"/>
        <rFont val="Arial"/>
        <family val="0"/>
        <charset val="1"/>
      </rPr>
      <t xml:space="preserve">(</t>
    </r>
    <r>
      <rPr>
        <sz val="10"/>
        <rFont val="Noto Sans CJK SC"/>
        <family val="2"/>
      </rPr>
      <t xml:space="preserve">呼出し元の変数が変わらない方式</t>
    </r>
    <r>
      <rPr>
        <sz val="10"/>
        <rFont val="Arial"/>
        <family val="0"/>
        <charset val="1"/>
      </rPr>
      <t xml:space="preserve">)</t>
    </r>
  </si>
  <si>
    <r>
      <rPr>
        <sz val="10"/>
        <rFont val="Arial"/>
        <family val="0"/>
        <charset val="1"/>
      </rPr>
      <t xml:space="preserve">2021</t>
    </r>
    <r>
      <rPr>
        <sz val="10"/>
        <rFont val="Noto Sans CJK SC"/>
        <family val="2"/>
      </rPr>
      <t xml:space="preserve">年問</t>
    </r>
    <r>
      <rPr>
        <sz val="10"/>
        <rFont val="Arial"/>
        <family val="0"/>
        <charset val="1"/>
      </rPr>
      <t xml:space="preserve">8 / 2025</t>
    </r>
    <r>
      <rPr>
        <sz val="10"/>
        <rFont val="Noto Sans CJK SC"/>
        <family val="2"/>
      </rPr>
      <t xml:space="preserve">年問</t>
    </r>
    <r>
      <rPr>
        <sz val="10"/>
        <rFont val="Arial"/>
        <family val="0"/>
        <charset val="1"/>
      </rPr>
      <t xml:space="preserve">9</t>
    </r>
  </si>
  <si>
    <r>
      <rPr>
        <sz val="10"/>
        <rFont val="Noto Sans CJK SC"/>
        <family val="2"/>
      </rPr>
      <t xml:space="preserve">組込みシステムの</t>
    </r>
    <r>
      <rPr>
        <sz val="10"/>
        <rFont val="Arial"/>
        <family val="0"/>
        <charset val="1"/>
      </rPr>
      <t xml:space="preserve">LSI</t>
    </r>
    <r>
      <rPr>
        <sz val="10"/>
        <rFont val="Noto Sans CJK SC"/>
        <family val="2"/>
      </rPr>
      <t xml:space="preserve">設計</t>
    </r>
  </si>
  <si>
    <r>
      <rPr>
        <sz val="10"/>
        <rFont val="Arial"/>
        <family val="0"/>
        <charset val="1"/>
      </rPr>
      <t xml:space="preserve">2022</t>
    </r>
    <r>
      <rPr>
        <sz val="10"/>
        <rFont val="Noto Sans CJK SC"/>
        <family val="2"/>
      </rPr>
      <t xml:space="preserve">年問</t>
    </r>
    <r>
      <rPr>
        <sz val="10"/>
        <rFont val="Arial"/>
        <family val="0"/>
        <charset val="1"/>
      </rPr>
      <t xml:space="preserve">14 / 2024</t>
    </r>
    <r>
      <rPr>
        <sz val="10"/>
        <rFont val="Noto Sans CJK SC"/>
        <family val="2"/>
      </rPr>
      <t xml:space="preserve">年問</t>
    </r>
    <r>
      <rPr>
        <sz val="10"/>
        <rFont val="Arial"/>
        <family val="0"/>
        <charset val="1"/>
      </rPr>
      <t xml:space="preserve">15</t>
    </r>
  </si>
  <si>
    <t xml:space="preserve">ラボ契約の特徴</t>
  </si>
  <si>
    <r>
      <rPr>
        <sz val="10"/>
        <rFont val="Arial"/>
        <family val="0"/>
        <charset val="1"/>
      </rPr>
      <t xml:space="preserve">2022</t>
    </r>
    <r>
      <rPr>
        <sz val="10"/>
        <rFont val="Noto Sans CJK SC"/>
        <family val="2"/>
      </rPr>
      <t xml:space="preserve">年問</t>
    </r>
    <r>
      <rPr>
        <sz val="10"/>
        <rFont val="Arial"/>
        <family val="0"/>
        <charset val="1"/>
      </rPr>
      <t xml:space="preserve">15 / 2025</t>
    </r>
    <r>
      <rPr>
        <sz val="10"/>
        <rFont val="Noto Sans CJK SC"/>
        <family val="2"/>
      </rPr>
      <t xml:space="preserve">年問</t>
    </r>
    <r>
      <rPr>
        <sz val="10"/>
        <rFont val="Arial"/>
        <family val="0"/>
        <charset val="1"/>
      </rPr>
      <t xml:space="preserve">14</t>
    </r>
  </si>
  <si>
    <r>
      <rPr>
        <sz val="10"/>
        <rFont val="Arial"/>
        <family val="0"/>
        <charset val="1"/>
      </rPr>
      <t xml:space="preserve">e</t>
    </r>
    <r>
      <rPr>
        <sz val="10"/>
        <rFont val="Noto Sans CJK SC"/>
        <family val="2"/>
      </rPr>
      <t xml:space="preserve">シールの説明</t>
    </r>
  </si>
  <si>
    <r>
      <rPr>
        <sz val="10"/>
        <rFont val="Arial"/>
        <family val="0"/>
        <charset val="1"/>
      </rPr>
      <t xml:space="preserve">2022</t>
    </r>
    <r>
      <rPr>
        <sz val="10"/>
        <rFont val="Noto Sans CJK SC"/>
        <family val="2"/>
      </rPr>
      <t xml:space="preserve">年問</t>
    </r>
    <r>
      <rPr>
        <sz val="10"/>
        <rFont val="Arial"/>
        <family val="0"/>
        <charset val="1"/>
      </rPr>
      <t xml:space="preserve">16 / 2024</t>
    </r>
    <r>
      <rPr>
        <sz val="10"/>
        <rFont val="Noto Sans CJK SC"/>
        <family val="2"/>
      </rPr>
      <t xml:space="preserve">年問</t>
    </r>
    <r>
      <rPr>
        <sz val="10"/>
        <rFont val="Arial"/>
        <family val="0"/>
        <charset val="1"/>
      </rPr>
      <t xml:space="preserve">16</t>
    </r>
  </si>
  <si>
    <r>
      <rPr>
        <sz val="10"/>
        <rFont val="Noto Sans CJK SC"/>
        <family val="2"/>
      </rPr>
      <t xml:space="preserve">組込みシステムでの</t>
    </r>
    <r>
      <rPr>
        <sz val="10"/>
        <rFont val="Arial"/>
        <family val="0"/>
        <charset val="1"/>
      </rPr>
      <t xml:space="preserve">DBMS</t>
    </r>
    <r>
      <rPr>
        <sz val="10"/>
        <rFont val="Noto Sans CJK SC"/>
        <family val="2"/>
      </rPr>
      <t xml:space="preserve">利用</t>
    </r>
  </si>
  <si>
    <r>
      <rPr>
        <sz val="10"/>
        <rFont val="Arial"/>
        <family val="0"/>
        <charset val="1"/>
      </rPr>
      <t xml:space="preserve">2022</t>
    </r>
    <r>
      <rPr>
        <sz val="10"/>
        <rFont val="Noto Sans CJK SC"/>
        <family val="2"/>
      </rPr>
      <t xml:space="preserve">年問</t>
    </r>
    <r>
      <rPr>
        <sz val="10"/>
        <rFont val="Arial"/>
        <family val="0"/>
        <charset val="1"/>
      </rPr>
      <t xml:space="preserve">4 / 2024</t>
    </r>
    <r>
      <rPr>
        <sz val="10"/>
        <rFont val="Noto Sans CJK SC"/>
        <family val="2"/>
      </rPr>
      <t xml:space="preserve">年問</t>
    </r>
    <r>
      <rPr>
        <sz val="10"/>
        <rFont val="Arial"/>
        <family val="0"/>
        <charset val="1"/>
      </rPr>
      <t xml:space="preserve">2</t>
    </r>
  </si>
  <si>
    <t xml:space="preserve">最も低いモジュール結合度の受渡し方法</t>
  </si>
  <si>
    <r>
      <rPr>
        <sz val="10"/>
        <rFont val="Arial"/>
        <family val="0"/>
        <charset val="1"/>
      </rPr>
      <t xml:space="preserve">2022</t>
    </r>
    <r>
      <rPr>
        <sz val="10"/>
        <rFont val="Noto Sans CJK SC"/>
        <family val="2"/>
      </rPr>
      <t xml:space="preserve">年問</t>
    </r>
    <r>
      <rPr>
        <sz val="10"/>
        <rFont val="Arial"/>
        <family val="0"/>
        <charset val="1"/>
      </rPr>
      <t xml:space="preserve">6 / 2024</t>
    </r>
    <r>
      <rPr>
        <sz val="10"/>
        <rFont val="Noto Sans CJK SC"/>
        <family val="2"/>
      </rPr>
      <t xml:space="preserve">年問</t>
    </r>
    <r>
      <rPr>
        <sz val="10"/>
        <rFont val="Arial"/>
        <family val="0"/>
        <charset val="1"/>
      </rPr>
      <t xml:space="preserve">5</t>
    </r>
  </si>
  <si>
    <r>
      <rPr>
        <sz val="10"/>
        <rFont val="Arial"/>
        <family val="0"/>
        <charset val="1"/>
      </rPr>
      <t xml:space="preserve">CSMA/CD</t>
    </r>
    <r>
      <rPr>
        <sz val="10"/>
        <rFont val="Noto Sans CJK SC"/>
        <family val="2"/>
      </rPr>
      <t xml:space="preserve">方式</t>
    </r>
    <r>
      <rPr>
        <sz val="10"/>
        <rFont val="Arial"/>
        <family val="0"/>
        <charset val="1"/>
      </rPr>
      <t xml:space="preserve">LAN</t>
    </r>
    <r>
      <rPr>
        <sz val="10"/>
        <rFont val="Noto Sans CJK SC"/>
        <family val="2"/>
      </rPr>
      <t xml:space="preserve">とスイッチングハブ</t>
    </r>
  </si>
  <si>
    <r>
      <rPr>
        <sz val="10"/>
        <rFont val="Arial"/>
        <family val="0"/>
        <charset val="1"/>
      </rPr>
      <t xml:space="preserve">2023</t>
    </r>
    <r>
      <rPr>
        <sz val="10"/>
        <rFont val="Noto Sans CJK SC"/>
        <family val="2"/>
      </rPr>
      <t xml:space="preserve">年問</t>
    </r>
    <r>
      <rPr>
        <sz val="10"/>
        <rFont val="Arial"/>
        <family val="0"/>
        <charset val="1"/>
      </rPr>
      <t xml:space="preserve">25 / 2025</t>
    </r>
    <r>
      <rPr>
        <sz val="10"/>
        <rFont val="Noto Sans CJK SC"/>
        <family val="2"/>
      </rPr>
      <t xml:space="preserve">年問</t>
    </r>
    <r>
      <rPr>
        <sz val="10"/>
        <rFont val="Arial"/>
        <family val="0"/>
        <charset val="1"/>
      </rPr>
      <t xml:space="preserve">25</t>
    </r>
  </si>
  <si>
    <t xml:space="preserve">中分類別の問題数と回別の出題数</t>
  </si>
  <si>
    <r>
      <rPr>
        <sz val="9"/>
        <color rgb="FF595959"/>
        <rFont val="Noto Sans CJK SC"/>
        <family val="2"/>
      </rPr>
      <t xml:space="preserve">試験要綱「試験区分別出題分野一覧表」の中分類（</t>
    </r>
    <r>
      <rPr>
        <sz val="9"/>
        <color rgb="FF595959"/>
        <rFont val="Arial"/>
        <family val="0"/>
        <charset val="1"/>
      </rPr>
      <t xml:space="preserve">SA</t>
    </r>
    <r>
      <rPr>
        <sz val="9"/>
        <color rgb="FF595959"/>
        <rFont val="Noto Sans CJK SC"/>
        <family val="2"/>
      </rPr>
      <t xml:space="preserve">の出題範囲</t>
    </r>
    <r>
      <rPr>
        <sz val="9"/>
        <color rgb="FF595959"/>
        <rFont val="Arial"/>
        <family val="0"/>
        <charset val="1"/>
      </rPr>
      <t xml:space="preserve">10</t>
    </r>
    <r>
      <rPr>
        <sz val="9"/>
        <color rgb="FF595959"/>
        <rFont val="Noto Sans CJK SC"/>
        <family val="2"/>
      </rPr>
      <t xml:space="preserve">分野）で分類。問題一覧からの集計</t>
    </r>
    <r>
      <rPr>
        <sz val="9"/>
        <color rgb="FF595959"/>
        <rFont val="Arial"/>
        <family val="0"/>
        <charset val="1"/>
      </rPr>
      <t xml:space="preserve">(</t>
    </r>
    <r>
      <rPr>
        <sz val="9"/>
        <color rgb="FF595959"/>
        <rFont val="Noto Sans CJK SC"/>
        <family val="2"/>
      </rPr>
      <t xml:space="preserve">数式</t>
    </r>
    <r>
      <rPr>
        <sz val="9"/>
        <color rgb="FF595959"/>
        <rFont val="Arial"/>
        <family val="0"/>
        <charset val="1"/>
      </rPr>
      <t xml:space="preserve">)</t>
    </r>
    <r>
      <rPr>
        <sz val="9"/>
        <color rgb="FF595959"/>
        <rFont val="Noto Sans CJK SC"/>
        <family val="2"/>
      </rPr>
      <t xml:space="preserve">。</t>
    </r>
  </si>
  <si>
    <t xml:space="preserve">問題数</t>
  </si>
  <si>
    <t xml:space="preserve">再出題あり</t>
  </si>
  <si>
    <t xml:space="preserve">それ以外</t>
  </si>
  <si>
    <t xml:space="preserve">2015</t>
  </si>
  <si>
    <t xml:space="preserve">2016</t>
  </si>
  <si>
    <t xml:space="preserve">2017</t>
  </si>
  <si>
    <t xml:space="preserve">2018</t>
  </si>
  <si>
    <t xml:space="preserve">2019</t>
  </si>
  <si>
    <t xml:space="preserve">2021</t>
  </si>
  <si>
    <t xml:space="preserve">2022</t>
  </si>
  <si>
    <t xml:space="preserve">2023</t>
  </si>
  <si>
    <t xml:space="preserve">2024</t>
  </si>
  <si>
    <t xml:space="preserve">2025</t>
  </si>
  <si>
    <t xml:space="preserve">合計</t>
  </si>
  <si>
    <r>
      <rPr>
        <b val="true"/>
        <sz val="14"/>
        <rFont val="Noto Sans CJK SC"/>
        <family val="2"/>
      </rPr>
      <t xml:space="preserve">中分類別の出題数の予想（</t>
    </r>
    <r>
      <rPr>
        <b val="true"/>
        <sz val="14"/>
        <rFont val="Arial"/>
        <family val="0"/>
        <charset val="1"/>
      </rPr>
      <t xml:space="preserve">25</t>
    </r>
    <r>
      <rPr>
        <b val="true"/>
        <sz val="14"/>
        <rFont val="Noto Sans CJK SC"/>
        <family val="2"/>
      </rPr>
      <t xml:space="preserve">問）</t>
    </r>
  </si>
  <si>
    <r>
      <rPr>
        <sz val="9"/>
        <color rgb="FF595959"/>
        <rFont val="Noto Sans CJK SC"/>
        <family val="2"/>
      </rPr>
      <t xml:space="preserve">平均・最小・最大は分野別シートからの数式。予想問数</t>
    </r>
    <r>
      <rPr>
        <sz val="9"/>
        <color rgb="FF595959"/>
        <rFont val="Arial"/>
        <family val="0"/>
        <charset val="1"/>
      </rPr>
      <t xml:space="preserve">(</t>
    </r>
    <r>
      <rPr>
        <sz val="9"/>
        <color rgb="FF595959"/>
        <rFont val="Noto Sans CJK SC"/>
        <family val="2"/>
      </rPr>
      <t xml:space="preserve">青字</t>
    </r>
    <r>
      <rPr>
        <sz val="9"/>
        <color rgb="FF595959"/>
        <rFont val="Arial"/>
        <family val="0"/>
        <charset val="1"/>
      </rPr>
      <t xml:space="preserve">)</t>
    </r>
    <r>
      <rPr>
        <sz val="9"/>
        <color rgb="FF595959"/>
        <rFont val="Noto Sans CJK SC"/>
        <family val="2"/>
      </rPr>
      <t xml:space="preserve">は直近</t>
    </r>
    <r>
      <rPr>
        <sz val="9"/>
        <color rgb="FF595959"/>
        <rFont val="Arial"/>
        <family val="0"/>
        <charset val="1"/>
      </rPr>
      <t xml:space="preserve">5</t>
    </r>
    <r>
      <rPr>
        <sz val="9"/>
        <color rgb="FF595959"/>
        <rFont val="Noto Sans CJK SC"/>
        <family val="2"/>
      </rPr>
      <t xml:space="preserve">回の傾向と範囲の変更を踏まえた入力値で、合計</t>
    </r>
    <r>
      <rPr>
        <sz val="9"/>
        <color rgb="FF595959"/>
        <rFont val="Arial"/>
        <family val="0"/>
        <charset val="1"/>
      </rPr>
      <t xml:space="preserve">25</t>
    </r>
    <r>
      <rPr>
        <sz val="9"/>
        <color rgb="FF595959"/>
        <rFont val="Noto Sans CJK SC"/>
        <family val="2"/>
      </rPr>
      <t xml:space="preserve">問になるよう調整。◎は試験要綱の重点分野。</t>
    </r>
  </si>
  <si>
    <t xml:space="preserve">要綱</t>
  </si>
  <si>
    <r>
      <rPr>
        <b val="true"/>
        <sz val="10"/>
        <color rgb="FFFFFFFF"/>
        <rFont val="Noto Sans CJK SC"/>
        <family val="2"/>
      </rPr>
      <t xml:space="preserve">直近</t>
    </r>
    <r>
      <rPr>
        <b val="true"/>
        <sz val="10"/>
        <color rgb="FFFFFFFF"/>
        <rFont val="Arial"/>
        <family val="0"/>
        <charset val="1"/>
      </rPr>
      <t xml:space="preserve">5</t>
    </r>
    <r>
      <rPr>
        <b val="true"/>
        <sz val="10"/>
        <color rgb="FFFFFFFF"/>
        <rFont val="Noto Sans CJK SC"/>
        <family val="2"/>
      </rPr>
      <t xml:space="preserve">回平均</t>
    </r>
  </si>
  <si>
    <r>
      <rPr>
        <b val="true"/>
        <sz val="10"/>
        <color rgb="FFFFFFFF"/>
        <rFont val="Noto Sans CJK SC"/>
        <family val="2"/>
      </rPr>
      <t xml:space="preserve">直近</t>
    </r>
    <r>
      <rPr>
        <b val="true"/>
        <sz val="10"/>
        <color rgb="FFFFFFFF"/>
        <rFont val="Arial"/>
        <family val="0"/>
        <charset val="1"/>
      </rPr>
      <t xml:space="preserve">5</t>
    </r>
    <r>
      <rPr>
        <b val="true"/>
        <sz val="10"/>
        <color rgb="FFFFFFFF"/>
        <rFont val="Noto Sans CJK SC"/>
        <family val="2"/>
      </rPr>
      <t xml:space="preserve">回最小</t>
    </r>
  </si>
  <si>
    <r>
      <rPr>
        <b val="true"/>
        <sz val="10"/>
        <color rgb="FFFFFFFF"/>
        <rFont val="Noto Sans CJK SC"/>
        <family val="2"/>
      </rPr>
      <t xml:space="preserve">直近</t>
    </r>
    <r>
      <rPr>
        <b val="true"/>
        <sz val="10"/>
        <color rgb="FFFFFFFF"/>
        <rFont val="Arial"/>
        <family val="0"/>
        <charset val="1"/>
      </rPr>
      <t xml:space="preserve">5</t>
    </r>
    <r>
      <rPr>
        <b val="true"/>
        <sz val="10"/>
        <color rgb="FFFFFFFF"/>
        <rFont val="Noto Sans CJK SC"/>
        <family val="2"/>
      </rPr>
      <t xml:space="preserve">回最大</t>
    </r>
  </si>
  <si>
    <r>
      <rPr>
        <b val="true"/>
        <sz val="10"/>
        <color rgb="FFFFFFFF"/>
        <rFont val="Arial"/>
        <family val="0"/>
        <charset val="1"/>
      </rPr>
      <t xml:space="preserve">10</t>
    </r>
    <r>
      <rPr>
        <b val="true"/>
        <sz val="10"/>
        <color rgb="FFFFFFFF"/>
        <rFont val="Noto Sans CJK SC"/>
        <family val="2"/>
      </rPr>
      <t xml:space="preserve">回平均</t>
    </r>
  </si>
  <si>
    <t xml:space="preserve">予想問数</t>
  </si>
  <si>
    <t xml:space="preserve">◎</t>
  </si>
  <si>
    <t xml:space="preserve">○</t>
  </si>
  <si>
    <r>
      <rPr>
        <b val="true"/>
        <sz val="14"/>
        <rFont val="Noto Sans CJK SC"/>
        <family val="2"/>
      </rPr>
      <t xml:space="preserve">覚えておきたい用語・テーマ</t>
    </r>
    <r>
      <rPr>
        <b val="true"/>
        <sz val="14"/>
        <rFont val="Arial"/>
        <family val="0"/>
        <charset val="1"/>
      </rPr>
      <t xml:space="preserve">(91</t>
    </r>
    <r>
      <rPr>
        <b val="true"/>
        <sz val="14"/>
        <rFont val="Noto Sans CJK SC"/>
        <family val="2"/>
      </rPr>
      <t xml:space="preserve">件</t>
    </r>
    <r>
      <rPr>
        <b val="true"/>
        <sz val="14"/>
        <rFont val="Arial"/>
        <family val="0"/>
        <charset val="1"/>
      </rPr>
      <t xml:space="preserve">)</t>
    </r>
  </si>
  <si>
    <r>
      <rPr>
        <sz val="9"/>
        <color rgb="FF595959"/>
        <rFont val="Noto Sans CJK SC"/>
        <family val="2"/>
      </rPr>
      <t xml:space="preserve">出題数・再出題・直近</t>
    </r>
    <r>
      <rPr>
        <sz val="9"/>
        <color rgb="FF595959"/>
        <rFont val="Arial"/>
        <family val="0"/>
        <charset val="1"/>
      </rPr>
      <t xml:space="preserve">3</t>
    </r>
    <r>
      <rPr>
        <sz val="9"/>
        <color rgb="FF595959"/>
        <rFont val="Noto Sans CJK SC"/>
        <family val="2"/>
      </rPr>
      <t xml:space="preserve">回・最終出題・優先度は問題一覧からの数式。優先度</t>
    </r>
    <r>
      <rPr>
        <sz val="9"/>
        <color rgb="FF595959"/>
        <rFont val="Arial"/>
        <family val="0"/>
        <charset val="1"/>
      </rPr>
      <t xml:space="preserve">A</t>
    </r>
    <r>
      <rPr>
        <sz val="9"/>
        <color rgb="FF595959"/>
        <rFont val="Noto Sans CJK SC"/>
        <family val="2"/>
      </rPr>
      <t xml:space="preserve">は出題数</t>
    </r>
    <r>
      <rPr>
        <sz val="9"/>
        <color rgb="FF595959"/>
        <rFont val="Arial"/>
        <family val="0"/>
        <charset val="1"/>
      </rPr>
      <t xml:space="preserve">5</t>
    </r>
    <r>
      <rPr>
        <sz val="9"/>
        <color rgb="FF595959"/>
        <rFont val="Noto Sans CJK SC"/>
        <family val="2"/>
      </rPr>
      <t xml:space="preserve">以上または直近</t>
    </r>
    <r>
      <rPr>
        <sz val="9"/>
        <color rgb="FF595959"/>
        <rFont val="Arial"/>
        <family val="0"/>
        <charset val="1"/>
      </rPr>
      <t xml:space="preserve">3</t>
    </r>
    <r>
      <rPr>
        <sz val="9"/>
        <color rgb="FF595959"/>
        <rFont val="Noto Sans CJK SC"/>
        <family val="2"/>
      </rPr>
      <t xml:space="preserve">回で</t>
    </r>
    <r>
      <rPr>
        <sz val="9"/>
        <color rgb="FF595959"/>
        <rFont val="Arial"/>
        <family val="0"/>
        <charset val="1"/>
      </rPr>
      <t xml:space="preserve">3</t>
    </r>
    <r>
      <rPr>
        <sz val="9"/>
        <color rgb="FF595959"/>
        <rFont val="Noto Sans CJK SC"/>
        <family val="2"/>
      </rPr>
      <t xml:space="preserve">以上、</t>
    </r>
    <r>
      <rPr>
        <sz val="9"/>
        <color rgb="FF595959"/>
        <rFont val="Arial"/>
        <family val="0"/>
        <charset val="1"/>
      </rPr>
      <t xml:space="preserve">B</t>
    </r>
    <r>
      <rPr>
        <sz val="9"/>
        <color rgb="FF595959"/>
        <rFont val="Noto Sans CJK SC"/>
        <family val="2"/>
      </rPr>
      <t xml:space="preserve">は出題数</t>
    </r>
    <r>
      <rPr>
        <sz val="9"/>
        <color rgb="FF595959"/>
        <rFont val="Arial"/>
        <family val="0"/>
        <charset val="1"/>
      </rPr>
      <t xml:space="preserve">3</t>
    </r>
    <r>
      <rPr>
        <sz val="9"/>
        <color rgb="FF595959"/>
        <rFont val="Noto Sans CJK SC"/>
        <family val="2"/>
      </rPr>
      <t xml:space="preserve">以上または直近</t>
    </r>
    <r>
      <rPr>
        <sz val="9"/>
        <color rgb="FF595959"/>
        <rFont val="Arial"/>
        <family val="0"/>
        <charset val="1"/>
      </rPr>
      <t xml:space="preserve">3</t>
    </r>
    <r>
      <rPr>
        <sz val="9"/>
        <color rgb="FF595959"/>
        <rFont val="Noto Sans CJK SC"/>
        <family val="2"/>
      </rPr>
      <t xml:space="preserve">回で</t>
    </r>
    <r>
      <rPr>
        <sz val="9"/>
        <color rgb="FF595959"/>
        <rFont val="Arial"/>
        <family val="0"/>
        <charset val="1"/>
      </rPr>
      <t xml:space="preserve">2</t>
    </r>
    <r>
      <rPr>
        <sz val="9"/>
        <color rgb="FF595959"/>
        <rFont val="Noto Sans CJK SC"/>
        <family val="2"/>
      </rPr>
      <t xml:space="preserve">以上、それ以外は</t>
    </r>
    <r>
      <rPr>
        <sz val="9"/>
        <color rgb="FF595959"/>
        <rFont val="Arial"/>
        <family val="0"/>
        <charset val="1"/>
      </rPr>
      <t xml:space="preserve">C</t>
    </r>
    <r>
      <rPr>
        <sz val="9"/>
        <color rgb="FF595959"/>
        <rFont val="Noto Sans CJK SC"/>
        <family val="2"/>
      </rPr>
      <t xml:space="preserve">。学習ポイントは出題内容をもとに整理した要点で、各問の解説ではありません。</t>
    </r>
  </si>
  <si>
    <t xml:space="preserve">優先度</t>
  </si>
  <si>
    <t xml:space="preserve">出題数</t>
  </si>
  <si>
    <r>
      <rPr>
        <b val="true"/>
        <sz val="10"/>
        <color rgb="FFFFFFFF"/>
        <rFont val="Noto Sans CJK SC"/>
        <family val="2"/>
      </rPr>
      <t xml:space="preserve">直近</t>
    </r>
    <r>
      <rPr>
        <b val="true"/>
        <sz val="10"/>
        <color rgb="FFFFFFFF"/>
        <rFont val="Arial"/>
        <family val="0"/>
        <charset val="1"/>
      </rPr>
      <t xml:space="preserve">3</t>
    </r>
    <r>
      <rPr>
        <b val="true"/>
        <sz val="10"/>
        <color rgb="FFFFFFFF"/>
        <rFont val="Noto Sans CJK SC"/>
        <family val="2"/>
      </rPr>
      <t xml:space="preserve">回</t>
    </r>
  </si>
  <si>
    <t xml:space="preserve">最終出題</t>
  </si>
  <si>
    <t xml:space="preserve">出題された年</t>
  </si>
  <si>
    <t xml:space="preserve">学習ポイント</t>
  </si>
  <si>
    <r>
      <rPr>
        <sz val="10"/>
        <rFont val="Arial"/>
        <family val="0"/>
        <charset val="1"/>
      </rPr>
      <t xml:space="preserve">2015</t>
    </r>
    <r>
      <rPr>
        <sz val="10"/>
        <rFont val="Noto Sans CJK SC"/>
        <family val="2"/>
      </rPr>
      <t xml:space="preserve">・</t>
    </r>
    <r>
      <rPr>
        <sz val="10"/>
        <rFont val="Arial"/>
        <family val="0"/>
        <charset val="1"/>
      </rPr>
      <t xml:space="preserve">2017</t>
    </r>
    <r>
      <rPr>
        <sz val="10"/>
        <rFont val="Noto Sans CJK SC"/>
        <family val="2"/>
      </rPr>
      <t xml:space="preserve">・</t>
    </r>
    <r>
      <rPr>
        <sz val="10"/>
        <rFont val="Arial"/>
        <family val="0"/>
        <charset val="1"/>
      </rPr>
      <t xml:space="preserve">2019</t>
    </r>
    <r>
      <rPr>
        <sz val="10"/>
        <rFont val="Noto Sans CJK SC"/>
        <family val="2"/>
      </rPr>
      <t xml:space="preserve">・</t>
    </r>
    <r>
      <rPr>
        <sz val="10"/>
        <rFont val="Arial"/>
        <family val="0"/>
        <charset val="1"/>
      </rPr>
      <t xml:space="preserve">2022</t>
    </r>
    <r>
      <rPr>
        <sz val="10"/>
        <rFont val="Noto Sans CJK SC"/>
        <family val="2"/>
      </rPr>
      <t xml:space="preserve">・</t>
    </r>
    <r>
      <rPr>
        <sz val="10"/>
        <rFont val="Arial"/>
        <family val="0"/>
        <charset val="1"/>
      </rPr>
      <t xml:space="preserve">2023</t>
    </r>
    <r>
      <rPr>
        <sz val="10"/>
        <rFont val="Noto Sans CJK SC"/>
        <family val="2"/>
      </rPr>
      <t xml:space="preserve">・</t>
    </r>
    <r>
      <rPr>
        <sz val="10"/>
        <rFont val="Arial"/>
        <family val="0"/>
        <charset val="1"/>
      </rPr>
      <t xml:space="preserve">2024</t>
    </r>
    <r>
      <rPr>
        <sz val="10"/>
        <rFont val="Noto Sans CJK SC"/>
        <family val="2"/>
      </rPr>
      <t xml:space="preserve">・</t>
    </r>
    <r>
      <rPr>
        <sz val="10"/>
        <rFont val="Arial"/>
        <family val="0"/>
        <charset val="1"/>
      </rPr>
      <t xml:space="preserve">2025</t>
    </r>
  </si>
  <si>
    <r>
      <rPr>
        <sz val="10"/>
        <rFont val="Arial"/>
        <family val="0"/>
        <charset val="1"/>
      </rPr>
      <t xml:space="preserve">GoF23(</t>
    </r>
    <r>
      <rPr>
        <sz val="10"/>
        <rFont val="Noto Sans CJK SC"/>
        <family val="2"/>
      </rPr>
      <t xml:space="preserve">生成</t>
    </r>
    <r>
      <rPr>
        <sz val="10"/>
        <rFont val="Arial"/>
        <family val="0"/>
        <charset val="1"/>
      </rPr>
      <t xml:space="preserve">: Singleton</t>
    </r>
    <r>
      <rPr>
        <sz val="10"/>
        <rFont val="Noto Sans CJK SC"/>
        <family val="2"/>
      </rPr>
      <t xml:space="preserve">・</t>
    </r>
    <r>
      <rPr>
        <sz val="10"/>
        <rFont val="Arial"/>
        <family val="0"/>
        <charset val="1"/>
      </rPr>
      <t xml:space="preserve">Factory Method</t>
    </r>
    <r>
      <rPr>
        <sz val="10"/>
        <rFont val="Noto Sans CJK SC"/>
        <family val="2"/>
      </rPr>
      <t xml:space="preserve">・</t>
    </r>
    <r>
      <rPr>
        <sz val="10"/>
        <rFont val="Arial"/>
        <family val="0"/>
        <charset val="1"/>
      </rPr>
      <t xml:space="preserve">Abstract Factory</t>
    </r>
    <r>
      <rPr>
        <sz val="10"/>
        <rFont val="Noto Sans CJK SC"/>
        <family val="2"/>
      </rPr>
      <t xml:space="preserve">・</t>
    </r>
    <r>
      <rPr>
        <sz val="10"/>
        <rFont val="Arial"/>
        <family val="0"/>
        <charset val="1"/>
      </rPr>
      <t xml:space="preserve">Builder</t>
    </r>
    <r>
      <rPr>
        <sz val="10"/>
        <rFont val="Noto Sans CJK SC"/>
        <family val="2"/>
      </rPr>
      <t xml:space="preserve">・</t>
    </r>
    <r>
      <rPr>
        <sz val="10"/>
        <rFont val="Arial"/>
        <family val="0"/>
        <charset val="1"/>
      </rPr>
      <t xml:space="preserve">Prototype / </t>
    </r>
    <r>
      <rPr>
        <sz val="10"/>
        <rFont val="Noto Sans CJK SC"/>
        <family val="2"/>
      </rPr>
      <t xml:space="preserve">構造</t>
    </r>
    <r>
      <rPr>
        <sz val="10"/>
        <rFont val="Arial"/>
        <family val="0"/>
        <charset val="1"/>
      </rPr>
      <t xml:space="preserve">: Adapter</t>
    </r>
    <r>
      <rPr>
        <sz val="10"/>
        <rFont val="Noto Sans CJK SC"/>
        <family val="2"/>
      </rPr>
      <t xml:space="preserve">・</t>
    </r>
    <r>
      <rPr>
        <sz val="10"/>
        <rFont val="Arial"/>
        <family val="0"/>
        <charset val="1"/>
      </rPr>
      <t xml:space="preserve">Bridge</t>
    </r>
    <r>
      <rPr>
        <sz val="10"/>
        <rFont val="Noto Sans CJK SC"/>
        <family val="2"/>
      </rPr>
      <t xml:space="preserve">・</t>
    </r>
    <r>
      <rPr>
        <sz val="10"/>
        <rFont val="Arial"/>
        <family val="0"/>
        <charset val="1"/>
      </rPr>
      <t xml:space="preserve">Composite</t>
    </r>
    <r>
      <rPr>
        <sz val="10"/>
        <rFont val="Noto Sans CJK SC"/>
        <family val="2"/>
      </rPr>
      <t xml:space="preserve">・</t>
    </r>
    <r>
      <rPr>
        <sz val="10"/>
        <rFont val="Arial"/>
        <family val="0"/>
        <charset val="1"/>
      </rPr>
      <t xml:space="preserve">Decorator</t>
    </r>
    <r>
      <rPr>
        <sz val="10"/>
        <rFont val="Noto Sans CJK SC"/>
        <family val="2"/>
      </rPr>
      <t xml:space="preserve">・</t>
    </r>
    <r>
      <rPr>
        <sz val="10"/>
        <rFont val="Arial"/>
        <family val="0"/>
        <charset val="1"/>
      </rPr>
      <t xml:space="preserve">Facade</t>
    </r>
    <r>
      <rPr>
        <sz val="10"/>
        <rFont val="Noto Sans CJK SC"/>
        <family val="2"/>
      </rPr>
      <t xml:space="preserve">・</t>
    </r>
    <r>
      <rPr>
        <sz val="10"/>
        <rFont val="Arial"/>
        <family val="0"/>
        <charset val="1"/>
      </rPr>
      <t xml:space="preserve">Proxy / </t>
    </r>
    <r>
      <rPr>
        <sz val="10"/>
        <rFont val="Noto Sans CJK SC"/>
        <family val="2"/>
      </rPr>
      <t xml:space="preserve">振る舞い</t>
    </r>
    <r>
      <rPr>
        <sz val="10"/>
        <rFont val="Arial"/>
        <family val="0"/>
        <charset val="1"/>
      </rPr>
      <t xml:space="preserve">: Observer</t>
    </r>
    <r>
      <rPr>
        <sz val="10"/>
        <rFont val="Noto Sans CJK SC"/>
        <family val="2"/>
      </rPr>
      <t xml:space="preserve">・</t>
    </r>
    <r>
      <rPr>
        <sz val="10"/>
        <rFont val="Arial"/>
        <family val="0"/>
        <charset val="1"/>
      </rPr>
      <t xml:space="preserve">Strategy</t>
    </r>
    <r>
      <rPr>
        <sz val="10"/>
        <rFont val="Noto Sans CJK SC"/>
        <family val="2"/>
      </rPr>
      <t xml:space="preserve">・</t>
    </r>
    <r>
      <rPr>
        <sz val="10"/>
        <rFont val="Arial"/>
        <family val="0"/>
        <charset val="1"/>
      </rPr>
      <t xml:space="preserve">State</t>
    </r>
    <r>
      <rPr>
        <sz val="10"/>
        <rFont val="Noto Sans CJK SC"/>
        <family val="2"/>
      </rPr>
      <t xml:space="preserve">・</t>
    </r>
    <r>
      <rPr>
        <sz val="10"/>
        <rFont val="Arial"/>
        <family val="0"/>
        <charset val="1"/>
      </rPr>
      <t xml:space="preserve">Template Method</t>
    </r>
    <r>
      <rPr>
        <sz val="10"/>
        <rFont val="Noto Sans CJK SC"/>
        <family val="2"/>
      </rPr>
      <t xml:space="preserve">・</t>
    </r>
    <r>
      <rPr>
        <sz val="10"/>
        <rFont val="Arial"/>
        <family val="0"/>
        <charset val="1"/>
      </rPr>
      <t xml:space="preserve">Iterator</t>
    </r>
    <r>
      <rPr>
        <sz val="10"/>
        <rFont val="Noto Sans CJK SC"/>
        <family val="2"/>
      </rPr>
      <t xml:space="preserve">・</t>
    </r>
    <r>
      <rPr>
        <sz val="10"/>
        <rFont val="Arial"/>
        <family val="0"/>
        <charset val="1"/>
      </rPr>
      <t xml:space="preserve">Command)</t>
    </r>
    <r>
      <rPr>
        <sz val="10"/>
        <rFont val="Noto Sans CJK SC"/>
        <family val="2"/>
      </rPr>
      <t xml:space="preserve">、アーキテクチャパターン</t>
    </r>
    <r>
      <rPr>
        <sz val="10"/>
        <rFont val="Arial"/>
        <family val="0"/>
        <charset val="1"/>
      </rPr>
      <t xml:space="preserve">(MVC</t>
    </r>
    <r>
      <rPr>
        <sz val="10"/>
        <rFont val="Noto Sans CJK SC"/>
        <family val="2"/>
      </rPr>
      <t xml:space="preserve">・レイヤー・パイプ</t>
    </r>
    <r>
      <rPr>
        <sz val="10"/>
        <rFont val="Arial"/>
        <family val="0"/>
        <charset val="1"/>
      </rPr>
      <t xml:space="preserve">&amp;</t>
    </r>
    <r>
      <rPr>
        <sz val="10"/>
        <rFont val="Noto Sans CJK SC"/>
        <family val="2"/>
      </rPr>
      <t xml:space="preserve">フィルタ・マイクロカーネル</t>
    </r>
    <r>
      <rPr>
        <sz val="10"/>
        <rFont val="Arial"/>
        <family val="0"/>
        <charset val="1"/>
      </rPr>
      <t xml:space="preserve">)</t>
    </r>
  </si>
  <si>
    <r>
      <rPr>
        <sz val="10"/>
        <rFont val="Arial"/>
        <family val="0"/>
        <charset val="1"/>
      </rPr>
      <t xml:space="preserve">2015</t>
    </r>
    <r>
      <rPr>
        <sz val="10"/>
        <rFont val="Noto Sans CJK SC"/>
        <family val="2"/>
      </rPr>
      <t xml:space="preserve">・</t>
    </r>
    <r>
      <rPr>
        <sz val="10"/>
        <rFont val="Arial"/>
        <family val="0"/>
        <charset val="1"/>
      </rPr>
      <t xml:space="preserve">2017</t>
    </r>
    <r>
      <rPr>
        <sz val="10"/>
        <rFont val="Noto Sans CJK SC"/>
        <family val="2"/>
      </rPr>
      <t xml:space="preserve">・</t>
    </r>
    <r>
      <rPr>
        <sz val="10"/>
        <rFont val="Arial"/>
        <family val="0"/>
        <charset val="1"/>
      </rPr>
      <t xml:space="preserve">2019</t>
    </r>
    <r>
      <rPr>
        <sz val="10"/>
        <rFont val="Noto Sans CJK SC"/>
        <family val="2"/>
      </rPr>
      <t xml:space="preserve">・</t>
    </r>
    <r>
      <rPr>
        <sz val="10"/>
        <rFont val="Arial"/>
        <family val="0"/>
        <charset val="1"/>
      </rPr>
      <t xml:space="preserve">2021</t>
    </r>
    <r>
      <rPr>
        <sz val="10"/>
        <rFont val="Noto Sans CJK SC"/>
        <family val="2"/>
      </rPr>
      <t xml:space="preserve">・</t>
    </r>
    <r>
      <rPr>
        <sz val="10"/>
        <rFont val="Arial"/>
        <family val="0"/>
        <charset val="1"/>
      </rPr>
      <t xml:space="preserve">2022</t>
    </r>
    <r>
      <rPr>
        <sz val="10"/>
        <rFont val="Noto Sans CJK SC"/>
        <family val="2"/>
      </rPr>
      <t xml:space="preserve">・</t>
    </r>
    <r>
      <rPr>
        <sz val="10"/>
        <rFont val="Arial"/>
        <family val="0"/>
        <charset val="1"/>
      </rPr>
      <t xml:space="preserve">2023</t>
    </r>
    <r>
      <rPr>
        <sz val="10"/>
        <rFont val="Noto Sans CJK SC"/>
        <family val="2"/>
      </rPr>
      <t xml:space="preserve">・</t>
    </r>
    <r>
      <rPr>
        <sz val="10"/>
        <rFont val="Arial"/>
        <family val="0"/>
        <charset val="1"/>
      </rPr>
      <t xml:space="preserve">2024</t>
    </r>
  </si>
  <si>
    <r>
      <rPr>
        <sz val="10"/>
        <rFont val="Noto Sans CJK SC"/>
        <family val="2"/>
      </rPr>
      <t xml:space="preserve">署名の作成</t>
    </r>
    <r>
      <rPr>
        <sz val="10"/>
        <rFont val="Arial"/>
        <family val="0"/>
        <charset val="1"/>
      </rPr>
      <t xml:space="preserve">(</t>
    </r>
    <r>
      <rPr>
        <sz val="10"/>
        <rFont val="Noto Sans CJK SC"/>
        <family val="2"/>
      </rPr>
      <t xml:space="preserve">秘密鍵</t>
    </r>
    <r>
      <rPr>
        <sz val="10"/>
        <rFont val="Arial"/>
        <family val="0"/>
        <charset val="1"/>
      </rPr>
      <t xml:space="preserve">)</t>
    </r>
    <r>
      <rPr>
        <sz val="10"/>
        <rFont val="Noto Sans CJK SC"/>
        <family val="2"/>
      </rPr>
      <t xml:space="preserve">と検証</t>
    </r>
    <r>
      <rPr>
        <sz val="10"/>
        <rFont val="Arial"/>
        <family val="0"/>
        <charset val="1"/>
      </rPr>
      <t xml:space="preserve">(</t>
    </r>
    <r>
      <rPr>
        <sz val="10"/>
        <rFont val="Noto Sans CJK SC"/>
        <family val="2"/>
      </rPr>
      <t xml:space="preserve">公開鍵</t>
    </r>
    <r>
      <rPr>
        <sz val="10"/>
        <rFont val="Arial"/>
        <family val="0"/>
        <charset val="1"/>
      </rPr>
      <t xml:space="preserve">)</t>
    </r>
    <r>
      <rPr>
        <sz val="10"/>
        <rFont val="Noto Sans CJK SC"/>
        <family val="2"/>
      </rPr>
      <t xml:space="preserve">、ハッシュ値、認証局</t>
    </r>
    <r>
      <rPr>
        <sz val="10"/>
        <rFont val="Arial"/>
        <family val="0"/>
        <charset val="1"/>
      </rPr>
      <t xml:space="preserve">(CA)</t>
    </r>
    <r>
      <rPr>
        <sz val="10"/>
        <rFont val="Noto Sans CJK SC"/>
        <family val="2"/>
      </rPr>
      <t xml:space="preserve">とディジタル証明書</t>
    </r>
    <r>
      <rPr>
        <sz val="10"/>
        <rFont val="Arial"/>
        <family val="0"/>
        <charset val="1"/>
      </rPr>
      <t xml:space="preserve">(X.509)</t>
    </r>
    <r>
      <rPr>
        <sz val="10"/>
        <rFont val="Noto Sans CJK SC"/>
        <family val="2"/>
      </rPr>
      <t xml:space="preserve">、失効確認</t>
    </r>
    <r>
      <rPr>
        <sz val="10"/>
        <rFont val="Arial"/>
        <family val="0"/>
        <charset val="1"/>
      </rPr>
      <t xml:space="preserve">(CRL</t>
    </r>
    <r>
      <rPr>
        <sz val="10"/>
        <rFont val="Noto Sans CJK SC"/>
        <family val="2"/>
      </rPr>
      <t xml:space="preserve">・</t>
    </r>
    <r>
      <rPr>
        <sz val="10"/>
        <rFont val="Arial"/>
        <family val="0"/>
        <charset val="1"/>
      </rPr>
      <t xml:space="preserve">OCSP)</t>
    </r>
    <r>
      <rPr>
        <sz val="10"/>
        <rFont val="Noto Sans CJK SC"/>
        <family val="2"/>
      </rPr>
      <t xml:space="preserve">、タイムスタンプ、</t>
    </r>
    <r>
      <rPr>
        <sz val="10"/>
        <rFont val="Arial"/>
        <family val="0"/>
        <charset val="1"/>
      </rPr>
      <t xml:space="preserve">e</t>
    </r>
    <r>
      <rPr>
        <sz val="10"/>
        <rFont val="Noto Sans CJK SC"/>
        <family val="2"/>
      </rPr>
      <t xml:space="preserve">シール、</t>
    </r>
    <r>
      <rPr>
        <sz val="10"/>
        <rFont val="Arial"/>
        <family val="0"/>
        <charset val="1"/>
      </rPr>
      <t xml:space="preserve">TPM(</t>
    </r>
    <r>
      <rPr>
        <sz val="10"/>
        <rFont val="Noto Sans CJK SC"/>
        <family val="2"/>
      </rPr>
      <t xml:space="preserve">鍵保管チップ</t>
    </r>
    <r>
      <rPr>
        <sz val="10"/>
        <rFont val="Arial"/>
        <family val="0"/>
        <charset val="1"/>
      </rPr>
      <t xml:space="preserve">)</t>
    </r>
    <r>
      <rPr>
        <sz val="10"/>
        <rFont val="Noto Sans CJK SC"/>
        <family val="2"/>
      </rPr>
      <t xml:space="preserve">、コード署名</t>
    </r>
  </si>
  <si>
    <r>
      <rPr>
        <sz val="10"/>
        <rFont val="Arial"/>
        <family val="0"/>
        <charset val="1"/>
      </rPr>
      <t xml:space="preserve">2015</t>
    </r>
    <r>
      <rPr>
        <sz val="10"/>
        <rFont val="Noto Sans CJK SC"/>
        <family val="2"/>
      </rPr>
      <t xml:space="preserve">・</t>
    </r>
    <r>
      <rPr>
        <sz val="10"/>
        <rFont val="Arial"/>
        <family val="0"/>
        <charset val="1"/>
      </rPr>
      <t xml:space="preserve">2016</t>
    </r>
    <r>
      <rPr>
        <sz val="10"/>
        <rFont val="Noto Sans CJK SC"/>
        <family val="2"/>
      </rPr>
      <t xml:space="preserve">・</t>
    </r>
    <r>
      <rPr>
        <sz val="10"/>
        <rFont val="Arial"/>
        <family val="0"/>
        <charset val="1"/>
      </rPr>
      <t xml:space="preserve">2018</t>
    </r>
    <r>
      <rPr>
        <sz val="10"/>
        <rFont val="Noto Sans CJK SC"/>
        <family val="2"/>
      </rPr>
      <t xml:space="preserve">・</t>
    </r>
    <r>
      <rPr>
        <sz val="10"/>
        <rFont val="Arial"/>
        <family val="0"/>
        <charset val="1"/>
      </rPr>
      <t xml:space="preserve">2019</t>
    </r>
    <r>
      <rPr>
        <sz val="10"/>
        <rFont val="Noto Sans CJK SC"/>
        <family val="2"/>
      </rPr>
      <t xml:space="preserve">・</t>
    </r>
    <r>
      <rPr>
        <sz val="10"/>
        <rFont val="Arial"/>
        <family val="0"/>
        <charset val="1"/>
      </rPr>
      <t xml:space="preserve">2022</t>
    </r>
    <r>
      <rPr>
        <sz val="10"/>
        <rFont val="Noto Sans CJK SC"/>
        <family val="2"/>
      </rPr>
      <t xml:space="preserve">・</t>
    </r>
    <r>
      <rPr>
        <sz val="10"/>
        <rFont val="Arial"/>
        <family val="0"/>
        <charset val="1"/>
      </rPr>
      <t xml:space="preserve">2023</t>
    </r>
    <r>
      <rPr>
        <sz val="10"/>
        <rFont val="Noto Sans CJK SC"/>
        <family val="2"/>
      </rPr>
      <t xml:space="preserve">・</t>
    </r>
    <r>
      <rPr>
        <sz val="10"/>
        <rFont val="Arial"/>
        <family val="0"/>
        <charset val="1"/>
      </rPr>
      <t xml:space="preserve">2024</t>
    </r>
  </si>
  <si>
    <r>
      <rPr>
        <sz val="10"/>
        <rFont val="Noto Sans CJK SC"/>
        <family val="2"/>
      </rPr>
      <t xml:space="preserve">ソフトウェアライフサイクルプロセス</t>
    </r>
    <r>
      <rPr>
        <sz val="10"/>
        <rFont val="Arial"/>
        <family val="0"/>
        <charset val="1"/>
      </rPr>
      <t xml:space="preserve">(ISO/IEC/IEEE 12207)</t>
    </r>
    <r>
      <rPr>
        <sz val="10"/>
        <rFont val="Noto Sans CJK SC"/>
        <family val="2"/>
      </rPr>
      <t xml:space="preserve">のプロセス群。テクニカルプロセスの各プロセス</t>
    </r>
    <r>
      <rPr>
        <sz val="10"/>
        <rFont val="Arial"/>
        <family val="0"/>
        <charset val="1"/>
      </rPr>
      <t xml:space="preserve">(</t>
    </r>
    <r>
      <rPr>
        <sz val="10"/>
        <rFont val="Noto Sans CJK SC"/>
        <family val="2"/>
      </rPr>
      <t xml:space="preserve">要求事項定義・実装・統合・検証・移行・妥当性確認・運用・保守・廃棄</t>
    </r>
    <r>
      <rPr>
        <sz val="10"/>
        <rFont val="Arial"/>
        <family val="0"/>
        <charset val="1"/>
      </rPr>
      <t xml:space="preserve">)</t>
    </r>
    <r>
      <rPr>
        <sz val="10"/>
        <rFont val="Noto Sans CJK SC"/>
        <family val="2"/>
      </rPr>
      <t xml:space="preserve">の目的とタスク。毎回違うプロセスが問われる</t>
    </r>
  </si>
  <si>
    <r>
      <rPr>
        <sz val="10"/>
        <rFont val="Arial"/>
        <family val="0"/>
        <charset val="1"/>
      </rPr>
      <t xml:space="preserve">2017</t>
    </r>
    <r>
      <rPr>
        <sz val="10"/>
        <rFont val="Noto Sans CJK SC"/>
        <family val="2"/>
      </rPr>
      <t xml:space="preserve">・</t>
    </r>
    <r>
      <rPr>
        <sz val="10"/>
        <rFont val="Arial"/>
        <family val="0"/>
        <charset val="1"/>
      </rPr>
      <t xml:space="preserve">2018</t>
    </r>
    <r>
      <rPr>
        <sz val="10"/>
        <rFont val="Noto Sans CJK SC"/>
        <family val="2"/>
      </rPr>
      <t xml:space="preserve">・</t>
    </r>
    <r>
      <rPr>
        <sz val="10"/>
        <rFont val="Arial"/>
        <family val="0"/>
        <charset val="1"/>
      </rPr>
      <t xml:space="preserve">2021</t>
    </r>
    <r>
      <rPr>
        <sz val="10"/>
        <rFont val="Noto Sans CJK SC"/>
        <family val="2"/>
      </rPr>
      <t xml:space="preserve">・</t>
    </r>
    <r>
      <rPr>
        <sz val="10"/>
        <rFont val="Arial"/>
        <family val="0"/>
        <charset val="1"/>
      </rPr>
      <t xml:space="preserve">2025</t>
    </r>
  </si>
  <si>
    <r>
      <rPr>
        <sz val="10"/>
        <rFont val="Noto Sans CJK SC"/>
        <family val="2"/>
      </rPr>
      <t xml:space="preserve">機能要件と非機能要件、要求の抽出手法</t>
    </r>
    <r>
      <rPr>
        <sz val="10"/>
        <rFont val="Arial"/>
        <family val="0"/>
        <charset val="1"/>
      </rPr>
      <t xml:space="preserve">(</t>
    </r>
    <r>
      <rPr>
        <sz val="10"/>
        <rFont val="Noto Sans CJK SC"/>
        <family val="2"/>
      </rPr>
      <t xml:space="preserve">構造化インタビュー・ワークショップ・観察・プロトタイピング</t>
    </r>
    <r>
      <rPr>
        <sz val="10"/>
        <rFont val="Arial"/>
        <family val="0"/>
        <charset val="1"/>
      </rPr>
      <t xml:space="preserve">)</t>
    </r>
    <r>
      <rPr>
        <sz val="10"/>
        <rFont val="Noto Sans CJK SC"/>
        <family val="2"/>
      </rPr>
      <t xml:space="preserve">、ユースケース記述、</t>
    </r>
    <r>
      <rPr>
        <sz val="10"/>
        <rFont val="Arial"/>
        <family val="0"/>
        <charset val="1"/>
      </rPr>
      <t xml:space="preserve">BABOK</t>
    </r>
    <r>
      <rPr>
        <sz val="10"/>
        <rFont val="Noto Sans CJK SC"/>
        <family val="2"/>
      </rPr>
      <t xml:space="preserve">の要求分類</t>
    </r>
    <r>
      <rPr>
        <sz val="10"/>
        <rFont val="Arial"/>
        <family val="0"/>
        <charset val="1"/>
      </rPr>
      <t xml:space="preserve">(</t>
    </r>
    <r>
      <rPr>
        <sz val="10"/>
        <rFont val="Noto Sans CJK SC"/>
        <family val="2"/>
      </rPr>
      <t xml:space="preserve">ビジネス・ステークホルダ・ソリューション・移行</t>
    </r>
    <r>
      <rPr>
        <sz val="10"/>
        <rFont val="Arial"/>
        <family val="0"/>
        <charset val="1"/>
      </rPr>
      <t xml:space="preserve">)</t>
    </r>
    <r>
      <rPr>
        <sz val="10"/>
        <rFont val="Noto Sans CJK SC"/>
        <family val="2"/>
      </rPr>
      <t xml:space="preserve">、検証と妥当性確認</t>
    </r>
  </si>
  <si>
    <r>
      <rPr>
        <sz val="10"/>
        <rFont val="Arial"/>
        <family val="0"/>
        <charset val="1"/>
      </rPr>
      <t xml:space="preserve">2016</t>
    </r>
    <r>
      <rPr>
        <sz val="10"/>
        <rFont val="Noto Sans CJK SC"/>
        <family val="2"/>
      </rPr>
      <t xml:space="preserve">・</t>
    </r>
    <r>
      <rPr>
        <sz val="10"/>
        <rFont val="Arial"/>
        <family val="0"/>
        <charset val="1"/>
      </rPr>
      <t xml:space="preserve">2017</t>
    </r>
    <r>
      <rPr>
        <sz val="10"/>
        <rFont val="Noto Sans CJK SC"/>
        <family val="2"/>
      </rPr>
      <t xml:space="preserve">・</t>
    </r>
    <r>
      <rPr>
        <sz val="10"/>
        <rFont val="Arial"/>
        <family val="0"/>
        <charset val="1"/>
      </rPr>
      <t xml:space="preserve">2019</t>
    </r>
    <r>
      <rPr>
        <sz val="10"/>
        <rFont val="Noto Sans CJK SC"/>
        <family val="2"/>
      </rPr>
      <t xml:space="preserve">・</t>
    </r>
    <r>
      <rPr>
        <sz val="10"/>
        <rFont val="Arial"/>
        <family val="0"/>
        <charset val="1"/>
      </rPr>
      <t xml:space="preserve">2022</t>
    </r>
    <r>
      <rPr>
        <sz val="10"/>
        <rFont val="Noto Sans CJK SC"/>
        <family val="2"/>
      </rPr>
      <t xml:space="preserve">・</t>
    </r>
    <r>
      <rPr>
        <sz val="10"/>
        <rFont val="Arial"/>
        <family val="0"/>
        <charset val="1"/>
      </rPr>
      <t xml:space="preserve">2023</t>
    </r>
    <r>
      <rPr>
        <sz val="10"/>
        <rFont val="Noto Sans CJK SC"/>
        <family val="2"/>
      </rPr>
      <t xml:space="preserve">・</t>
    </r>
    <r>
      <rPr>
        <sz val="10"/>
        <rFont val="Arial"/>
        <family val="0"/>
        <charset val="1"/>
      </rPr>
      <t xml:space="preserve">2024</t>
    </r>
  </si>
  <si>
    <r>
      <rPr>
        <sz val="10"/>
        <rFont val="Noto Sans CJK SC"/>
        <family val="2"/>
      </rPr>
      <t xml:space="preserve">共通鍵</t>
    </r>
    <r>
      <rPr>
        <sz val="10"/>
        <rFont val="Arial"/>
        <family val="0"/>
        <charset val="1"/>
      </rPr>
      <t xml:space="preserve">(AES</t>
    </r>
    <r>
      <rPr>
        <sz val="10"/>
        <rFont val="Noto Sans CJK SC"/>
        <family val="2"/>
      </rPr>
      <t xml:space="preserve">・鍵長・ブロック暗号モード</t>
    </r>
    <r>
      <rPr>
        <sz val="10"/>
        <rFont val="Arial"/>
        <family val="0"/>
        <charset val="1"/>
      </rPr>
      <t xml:space="preserve">)</t>
    </r>
    <r>
      <rPr>
        <sz val="10"/>
        <rFont val="Noto Sans CJK SC"/>
        <family val="2"/>
      </rPr>
      <t xml:space="preserve">と公開鍵</t>
    </r>
    <r>
      <rPr>
        <sz val="10"/>
        <rFont val="Arial"/>
        <family val="0"/>
        <charset val="1"/>
      </rPr>
      <t xml:space="preserve">(RSA</t>
    </r>
    <r>
      <rPr>
        <sz val="10"/>
        <rFont val="Noto Sans CJK SC"/>
        <family val="2"/>
      </rPr>
      <t xml:space="preserve">・楕円曲線暗号</t>
    </r>
    <r>
      <rPr>
        <sz val="10"/>
        <rFont val="Arial"/>
        <family val="0"/>
        <charset val="1"/>
      </rPr>
      <t xml:space="preserve">)</t>
    </r>
    <r>
      <rPr>
        <sz val="10"/>
        <rFont val="Noto Sans CJK SC"/>
        <family val="2"/>
      </rPr>
      <t xml:space="preserve">、ハイブリッド方式、</t>
    </r>
    <r>
      <rPr>
        <sz val="10"/>
        <rFont val="Arial"/>
        <family val="0"/>
        <charset val="1"/>
      </rPr>
      <t xml:space="preserve">CRYPTREC</t>
    </r>
    <r>
      <rPr>
        <sz val="10"/>
        <rFont val="Noto Sans CJK SC"/>
        <family val="2"/>
      </rPr>
      <t xml:space="preserve">、</t>
    </r>
    <r>
      <rPr>
        <sz val="10"/>
        <rFont val="Arial"/>
        <family val="0"/>
        <charset val="1"/>
      </rPr>
      <t xml:space="preserve">WPA2(AES-CCMP)</t>
    </r>
    <r>
      <rPr>
        <sz val="10"/>
        <rFont val="Noto Sans CJK SC"/>
        <family val="2"/>
      </rPr>
      <t xml:space="preserve">、ハッシュ関数</t>
    </r>
    <r>
      <rPr>
        <sz val="10"/>
        <rFont val="Arial"/>
        <family val="0"/>
        <charset val="1"/>
      </rPr>
      <t xml:space="preserve">(SHA-2</t>
    </r>
    <r>
      <rPr>
        <sz val="10"/>
        <rFont val="Noto Sans CJK SC"/>
        <family val="2"/>
      </rPr>
      <t xml:space="preserve">・</t>
    </r>
    <r>
      <rPr>
        <sz val="10"/>
        <rFont val="Arial"/>
        <family val="0"/>
        <charset val="1"/>
      </rPr>
      <t xml:space="preserve">SHA-3)</t>
    </r>
  </si>
  <si>
    <r>
      <rPr>
        <sz val="10"/>
        <rFont val="Arial"/>
        <family val="0"/>
        <charset val="1"/>
      </rPr>
      <t xml:space="preserve">2015</t>
    </r>
    <r>
      <rPr>
        <sz val="10"/>
        <rFont val="Noto Sans CJK SC"/>
        <family val="2"/>
      </rPr>
      <t xml:space="preserve">・</t>
    </r>
    <r>
      <rPr>
        <sz val="10"/>
        <rFont val="Arial"/>
        <family val="0"/>
        <charset val="1"/>
      </rPr>
      <t xml:space="preserve">2016</t>
    </r>
    <r>
      <rPr>
        <sz val="10"/>
        <rFont val="Noto Sans CJK SC"/>
        <family val="2"/>
      </rPr>
      <t xml:space="preserve">・</t>
    </r>
    <r>
      <rPr>
        <sz val="10"/>
        <rFont val="Arial"/>
        <family val="0"/>
        <charset val="1"/>
      </rPr>
      <t xml:space="preserve">2018</t>
    </r>
    <r>
      <rPr>
        <sz val="10"/>
        <rFont val="Noto Sans CJK SC"/>
        <family val="2"/>
      </rPr>
      <t xml:space="preserve">・</t>
    </r>
    <r>
      <rPr>
        <sz val="10"/>
        <rFont val="Arial"/>
        <family val="0"/>
        <charset val="1"/>
      </rPr>
      <t xml:space="preserve">2021</t>
    </r>
  </si>
  <si>
    <r>
      <rPr>
        <sz val="10"/>
        <rFont val="Noto Sans CJK SC"/>
        <family val="2"/>
      </rPr>
      <t xml:space="preserve">企画・要件定義・開発・運用・保守の各プロセスとアクティビティ、システム適格性確認テスト、システム方式設計、取得者と供給者の責任。</t>
    </r>
    <r>
      <rPr>
        <sz val="10"/>
        <rFont val="Arial"/>
        <family val="0"/>
        <charset val="1"/>
      </rPr>
      <t xml:space="preserve">2022</t>
    </r>
    <r>
      <rPr>
        <sz val="10"/>
        <rFont val="Noto Sans CJK SC"/>
        <family val="2"/>
      </rPr>
      <t xml:space="preserve">年以降は出題なし</t>
    </r>
    <r>
      <rPr>
        <sz val="10"/>
        <rFont val="Arial"/>
        <family val="0"/>
        <charset val="1"/>
      </rPr>
      <t xml:space="preserve">(JIS X 0160</t>
    </r>
    <r>
      <rPr>
        <sz val="10"/>
        <rFont val="Noto Sans CJK SC"/>
        <family val="2"/>
      </rPr>
      <t xml:space="preserve">系へ移行</t>
    </r>
    <r>
      <rPr>
        <sz val="10"/>
        <rFont val="Arial"/>
        <family val="0"/>
        <charset val="1"/>
      </rPr>
      <t xml:space="preserve">)</t>
    </r>
  </si>
  <si>
    <r>
      <rPr>
        <sz val="10"/>
        <rFont val="Arial"/>
        <family val="0"/>
        <charset val="1"/>
      </rPr>
      <t xml:space="preserve">2015</t>
    </r>
    <r>
      <rPr>
        <sz val="10"/>
        <rFont val="Noto Sans CJK SC"/>
        <family val="2"/>
      </rPr>
      <t xml:space="preserve">・</t>
    </r>
    <r>
      <rPr>
        <sz val="10"/>
        <rFont val="Arial"/>
        <family val="0"/>
        <charset val="1"/>
      </rPr>
      <t xml:space="preserve">2016</t>
    </r>
    <r>
      <rPr>
        <sz val="10"/>
        <rFont val="Noto Sans CJK SC"/>
        <family val="2"/>
      </rPr>
      <t xml:space="preserve">・</t>
    </r>
    <r>
      <rPr>
        <sz val="10"/>
        <rFont val="Arial"/>
        <family val="0"/>
        <charset val="1"/>
      </rPr>
      <t xml:space="preserve">2017</t>
    </r>
    <r>
      <rPr>
        <sz val="10"/>
        <rFont val="Noto Sans CJK SC"/>
        <family val="2"/>
      </rPr>
      <t xml:space="preserve">・</t>
    </r>
    <r>
      <rPr>
        <sz val="10"/>
        <rFont val="Arial"/>
        <family val="0"/>
        <charset val="1"/>
      </rPr>
      <t xml:space="preserve">2022</t>
    </r>
    <r>
      <rPr>
        <sz val="10"/>
        <rFont val="Noto Sans CJK SC"/>
        <family val="2"/>
      </rPr>
      <t xml:space="preserve">・</t>
    </r>
    <r>
      <rPr>
        <sz val="10"/>
        <rFont val="Arial"/>
        <family val="0"/>
        <charset val="1"/>
      </rPr>
      <t xml:space="preserve">2023</t>
    </r>
    <r>
      <rPr>
        <sz val="10"/>
        <rFont val="Noto Sans CJK SC"/>
        <family val="2"/>
      </rPr>
      <t xml:space="preserve">・</t>
    </r>
    <r>
      <rPr>
        <sz val="10"/>
        <rFont val="Arial"/>
        <family val="0"/>
        <charset val="1"/>
      </rPr>
      <t xml:space="preserve">2025</t>
    </r>
  </si>
  <si>
    <r>
      <rPr>
        <sz val="10"/>
        <rFont val="Noto Sans CJK SC"/>
        <family val="2"/>
      </rPr>
      <t xml:space="preserve">請負</t>
    </r>
    <r>
      <rPr>
        <sz val="10"/>
        <rFont val="Arial"/>
        <family val="0"/>
        <charset val="1"/>
      </rPr>
      <t xml:space="preserve">(</t>
    </r>
    <r>
      <rPr>
        <sz val="10"/>
        <rFont val="Noto Sans CJK SC"/>
        <family val="2"/>
      </rPr>
      <t xml:space="preserve">完成責任</t>
    </r>
    <r>
      <rPr>
        <sz val="10"/>
        <rFont val="Arial"/>
        <family val="0"/>
        <charset val="1"/>
      </rPr>
      <t xml:space="preserve">)</t>
    </r>
    <r>
      <rPr>
        <sz val="10"/>
        <rFont val="Noto Sans CJK SC"/>
        <family val="2"/>
      </rPr>
      <t xml:space="preserve">と準委任</t>
    </r>
    <r>
      <rPr>
        <sz val="10"/>
        <rFont val="Arial"/>
        <family val="0"/>
        <charset val="1"/>
      </rPr>
      <t xml:space="preserve">(</t>
    </r>
    <r>
      <rPr>
        <sz val="10"/>
        <rFont val="Noto Sans CJK SC"/>
        <family val="2"/>
      </rPr>
      <t xml:space="preserve">善管注意義務</t>
    </r>
    <r>
      <rPr>
        <sz val="10"/>
        <rFont val="Arial"/>
        <family val="0"/>
        <charset val="1"/>
      </rPr>
      <t xml:space="preserve">)</t>
    </r>
    <r>
      <rPr>
        <sz val="10"/>
        <rFont val="Noto Sans CJK SC"/>
        <family val="2"/>
      </rPr>
      <t xml:space="preserve">の違い、ラボ</t>
    </r>
    <r>
      <rPr>
        <sz val="10"/>
        <rFont val="Arial"/>
        <family val="0"/>
        <charset val="1"/>
      </rPr>
      <t xml:space="preserve">(</t>
    </r>
    <r>
      <rPr>
        <sz val="10"/>
        <rFont val="Noto Sans CJK SC"/>
        <family val="2"/>
      </rPr>
      <t xml:space="preserve">ラボラトリ</t>
    </r>
    <r>
      <rPr>
        <sz val="10"/>
        <rFont val="Arial"/>
        <family val="0"/>
        <charset val="1"/>
      </rPr>
      <t xml:space="preserve">)</t>
    </r>
    <r>
      <rPr>
        <sz val="10"/>
        <rFont val="Noto Sans CJK SC"/>
        <family val="2"/>
      </rPr>
      <t xml:space="preserve">型契約、実費償還型、定額契約、派遣との違い、情報システム・モデル取引・契約書の考え方</t>
    </r>
  </si>
  <si>
    <r>
      <rPr>
        <sz val="10"/>
        <rFont val="Arial"/>
        <family val="0"/>
        <charset val="1"/>
      </rPr>
      <t xml:space="preserve">2016</t>
    </r>
    <r>
      <rPr>
        <sz val="10"/>
        <rFont val="Noto Sans CJK SC"/>
        <family val="2"/>
      </rPr>
      <t xml:space="preserve">・</t>
    </r>
    <r>
      <rPr>
        <sz val="10"/>
        <rFont val="Arial"/>
        <family val="0"/>
        <charset val="1"/>
      </rPr>
      <t xml:space="preserve">2019</t>
    </r>
    <r>
      <rPr>
        <sz val="10"/>
        <rFont val="Noto Sans CJK SC"/>
        <family val="2"/>
      </rPr>
      <t xml:space="preserve">・</t>
    </r>
    <r>
      <rPr>
        <sz val="10"/>
        <rFont val="Arial"/>
        <family val="0"/>
        <charset val="1"/>
      </rPr>
      <t xml:space="preserve">2022</t>
    </r>
    <r>
      <rPr>
        <sz val="10"/>
        <rFont val="Noto Sans CJK SC"/>
        <family val="2"/>
      </rPr>
      <t xml:space="preserve">・</t>
    </r>
    <r>
      <rPr>
        <sz val="10"/>
        <rFont val="Arial"/>
        <family val="0"/>
        <charset val="1"/>
      </rPr>
      <t xml:space="preserve">2023</t>
    </r>
    <r>
      <rPr>
        <sz val="10"/>
        <rFont val="Noto Sans CJK SC"/>
        <family val="2"/>
      </rPr>
      <t xml:space="preserve">・</t>
    </r>
    <r>
      <rPr>
        <sz val="10"/>
        <rFont val="Arial"/>
        <family val="0"/>
        <charset val="1"/>
      </rPr>
      <t xml:space="preserve">2025</t>
    </r>
  </si>
  <si>
    <r>
      <rPr>
        <sz val="10"/>
        <rFont val="Arial"/>
        <family val="0"/>
        <charset val="1"/>
      </rPr>
      <t xml:space="preserve">DFD</t>
    </r>
    <r>
      <rPr>
        <sz val="10"/>
        <rFont val="Noto Sans CJK SC"/>
        <family val="2"/>
      </rPr>
      <t xml:space="preserve">の</t>
    </r>
    <r>
      <rPr>
        <sz val="10"/>
        <rFont val="Arial"/>
        <family val="0"/>
        <charset val="1"/>
      </rPr>
      <t xml:space="preserve">4</t>
    </r>
    <r>
      <rPr>
        <sz val="10"/>
        <rFont val="Noto Sans CJK SC"/>
        <family val="2"/>
      </rPr>
      <t xml:space="preserve">要素</t>
    </r>
    <r>
      <rPr>
        <sz val="10"/>
        <rFont val="Arial"/>
        <family val="0"/>
        <charset val="1"/>
      </rPr>
      <t xml:space="preserve">(</t>
    </r>
    <r>
      <rPr>
        <sz val="10"/>
        <rFont val="Noto Sans CJK SC"/>
        <family val="2"/>
      </rPr>
      <t xml:space="preserve">外部実体</t>
    </r>
    <r>
      <rPr>
        <sz val="10"/>
        <rFont val="Arial"/>
        <family val="0"/>
        <charset val="1"/>
      </rPr>
      <t xml:space="preserve">=</t>
    </r>
    <r>
      <rPr>
        <sz val="10"/>
        <rFont val="Noto Sans CJK SC"/>
        <family val="2"/>
      </rPr>
      <t xml:space="preserve">源泉と吸収・プロセス・データフロー・データストア</t>
    </r>
    <r>
      <rPr>
        <sz val="10"/>
        <rFont val="Arial"/>
        <family val="0"/>
        <charset val="1"/>
      </rPr>
      <t xml:space="preserve">)</t>
    </r>
    <r>
      <rPr>
        <sz val="10"/>
        <rFont val="Noto Sans CJK SC"/>
        <family val="2"/>
      </rPr>
      <t xml:space="preserve">、階層化とバランシング</t>
    </r>
    <r>
      <rPr>
        <sz val="10"/>
        <rFont val="Arial"/>
        <family val="0"/>
        <charset val="1"/>
      </rPr>
      <t xml:space="preserve">(</t>
    </r>
    <r>
      <rPr>
        <sz val="10"/>
        <rFont val="Noto Sans CJK SC"/>
        <family val="2"/>
      </rPr>
      <t xml:space="preserve">親子のデータフロー整合</t>
    </r>
    <r>
      <rPr>
        <sz val="10"/>
        <rFont val="Arial"/>
        <family val="0"/>
        <charset val="1"/>
      </rPr>
      <t xml:space="preserve">)</t>
    </r>
    <r>
      <rPr>
        <sz val="10"/>
        <rFont val="Noto Sans CJK SC"/>
        <family val="2"/>
      </rPr>
      <t xml:space="preserve">、デマルコの構造化技法、モジュール分割</t>
    </r>
  </si>
  <si>
    <r>
      <rPr>
        <sz val="10"/>
        <rFont val="Arial"/>
        <family val="0"/>
        <charset val="1"/>
      </rPr>
      <t xml:space="preserve">2018</t>
    </r>
    <r>
      <rPr>
        <sz val="10"/>
        <rFont val="Noto Sans CJK SC"/>
        <family val="2"/>
      </rPr>
      <t xml:space="preserve">・</t>
    </r>
    <r>
      <rPr>
        <sz val="10"/>
        <rFont val="Arial"/>
        <family val="0"/>
        <charset val="1"/>
      </rPr>
      <t xml:space="preserve">2019</t>
    </r>
    <r>
      <rPr>
        <sz val="10"/>
        <rFont val="Noto Sans CJK SC"/>
        <family val="2"/>
      </rPr>
      <t xml:space="preserve">・</t>
    </r>
    <r>
      <rPr>
        <sz val="10"/>
        <rFont val="Arial"/>
        <family val="0"/>
        <charset val="1"/>
      </rPr>
      <t xml:space="preserve">2021</t>
    </r>
    <r>
      <rPr>
        <sz val="10"/>
        <rFont val="Noto Sans CJK SC"/>
        <family val="2"/>
      </rPr>
      <t xml:space="preserve">・</t>
    </r>
    <r>
      <rPr>
        <sz val="10"/>
        <rFont val="Arial"/>
        <family val="0"/>
        <charset val="1"/>
      </rPr>
      <t xml:space="preserve">2024</t>
    </r>
    <r>
      <rPr>
        <sz val="10"/>
        <rFont val="Noto Sans CJK SC"/>
        <family val="2"/>
      </rPr>
      <t xml:space="preserve">・</t>
    </r>
    <r>
      <rPr>
        <sz val="10"/>
        <rFont val="Arial"/>
        <family val="0"/>
        <charset val="1"/>
      </rPr>
      <t xml:space="preserve">2025</t>
    </r>
  </si>
  <si>
    <r>
      <rPr>
        <sz val="10"/>
        <rFont val="Noto Sans CJK SC"/>
        <family val="2"/>
      </rPr>
      <t xml:space="preserve">引数の受渡し</t>
    </r>
    <r>
      <rPr>
        <sz val="10"/>
        <rFont val="Arial"/>
        <family val="0"/>
        <charset val="1"/>
      </rPr>
      <t xml:space="preserve">(</t>
    </r>
    <r>
      <rPr>
        <sz val="10"/>
        <rFont val="Noto Sans CJK SC"/>
        <family val="2"/>
      </rPr>
      <t xml:space="preserve">値渡し・参照渡し・結果渡し</t>
    </r>
    <r>
      <rPr>
        <sz val="10"/>
        <rFont val="Arial"/>
        <family val="0"/>
        <charset val="1"/>
      </rPr>
      <t xml:space="preserve">)</t>
    </r>
    <r>
      <rPr>
        <sz val="10"/>
        <rFont val="Noto Sans CJK SC"/>
        <family val="2"/>
      </rPr>
      <t xml:space="preserve">、関数型言語</t>
    </r>
    <r>
      <rPr>
        <sz val="10"/>
        <rFont val="Arial"/>
        <family val="0"/>
        <charset val="1"/>
      </rPr>
      <t xml:space="preserve">(</t>
    </r>
    <r>
      <rPr>
        <sz val="10"/>
        <rFont val="Noto Sans CJK SC"/>
        <family val="2"/>
      </rPr>
      <t xml:space="preserve">参照透過性・純粋関数</t>
    </r>
    <r>
      <rPr>
        <sz val="10"/>
        <rFont val="Arial"/>
        <family val="0"/>
        <charset val="1"/>
      </rPr>
      <t xml:space="preserve">)</t>
    </r>
    <r>
      <rPr>
        <sz val="10"/>
        <rFont val="Noto Sans CJK SC"/>
        <family val="2"/>
      </rPr>
      <t xml:space="preserve">、論理型言語</t>
    </r>
    <r>
      <rPr>
        <sz val="10"/>
        <rFont val="Arial"/>
        <family val="0"/>
        <charset val="1"/>
      </rPr>
      <t xml:space="preserve">(Prolog</t>
    </r>
    <r>
      <rPr>
        <sz val="10"/>
        <rFont val="Noto Sans CJK SC"/>
        <family val="2"/>
      </rPr>
      <t xml:space="preserve">・ユニフィケーション</t>
    </r>
    <r>
      <rPr>
        <sz val="10"/>
        <rFont val="Arial"/>
        <family val="0"/>
        <charset val="1"/>
      </rPr>
      <t xml:space="preserve">)</t>
    </r>
    <r>
      <rPr>
        <sz val="10"/>
        <rFont val="Noto Sans CJK SC"/>
        <family val="2"/>
      </rPr>
      <t xml:space="preserve">、流れ図のトレース</t>
    </r>
  </si>
  <si>
    <r>
      <rPr>
        <sz val="10"/>
        <rFont val="Arial"/>
        <family val="0"/>
        <charset val="1"/>
      </rPr>
      <t xml:space="preserve">2017</t>
    </r>
    <r>
      <rPr>
        <sz val="10"/>
        <rFont val="Noto Sans CJK SC"/>
        <family val="2"/>
      </rPr>
      <t xml:space="preserve">・</t>
    </r>
    <r>
      <rPr>
        <sz val="10"/>
        <rFont val="Arial"/>
        <family val="0"/>
        <charset val="1"/>
      </rPr>
      <t xml:space="preserve">2018</t>
    </r>
    <r>
      <rPr>
        <sz val="10"/>
        <rFont val="Noto Sans CJK SC"/>
        <family val="2"/>
      </rPr>
      <t xml:space="preserve">・</t>
    </r>
    <r>
      <rPr>
        <sz val="10"/>
        <rFont val="Arial"/>
        <family val="0"/>
        <charset val="1"/>
      </rPr>
      <t xml:space="preserve">2019</t>
    </r>
    <r>
      <rPr>
        <sz val="10"/>
        <rFont val="Noto Sans CJK SC"/>
        <family val="2"/>
      </rPr>
      <t xml:space="preserve">・</t>
    </r>
    <r>
      <rPr>
        <sz val="10"/>
        <rFont val="Arial"/>
        <family val="0"/>
        <charset val="1"/>
      </rPr>
      <t xml:space="preserve">2022</t>
    </r>
    <r>
      <rPr>
        <sz val="10"/>
        <rFont val="Noto Sans CJK SC"/>
        <family val="2"/>
      </rPr>
      <t xml:space="preserve">・</t>
    </r>
    <r>
      <rPr>
        <sz val="10"/>
        <rFont val="Arial"/>
        <family val="0"/>
        <charset val="1"/>
      </rPr>
      <t xml:space="preserve">2023</t>
    </r>
    <r>
      <rPr>
        <sz val="10"/>
        <rFont val="Noto Sans CJK SC"/>
        <family val="2"/>
      </rPr>
      <t xml:space="preserve">・</t>
    </r>
    <r>
      <rPr>
        <sz val="10"/>
        <rFont val="Arial"/>
        <family val="0"/>
        <charset val="1"/>
      </rPr>
      <t xml:space="preserve">2024</t>
    </r>
  </si>
  <si>
    <r>
      <rPr>
        <sz val="10"/>
        <rFont val="Noto Sans CJK SC"/>
        <family val="2"/>
      </rPr>
      <t xml:space="preserve">スクラムのイベント</t>
    </r>
    <r>
      <rPr>
        <sz val="10"/>
        <rFont val="Arial"/>
        <family val="0"/>
        <charset val="1"/>
      </rPr>
      <t xml:space="preserve">(</t>
    </r>
    <r>
      <rPr>
        <sz val="10"/>
        <rFont val="Noto Sans CJK SC"/>
        <family val="2"/>
      </rPr>
      <t xml:space="preserve">プランニング・デイリー・レビュー・レトロスペクティブ</t>
    </r>
    <r>
      <rPr>
        <sz val="10"/>
        <rFont val="Arial"/>
        <family val="0"/>
        <charset val="1"/>
      </rPr>
      <t xml:space="preserve">)</t>
    </r>
    <r>
      <rPr>
        <sz val="10"/>
        <rFont val="Noto Sans CJK SC"/>
        <family val="2"/>
      </rPr>
      <t xml:space="preserve">と役割</t>
    </r>
    <r>
      <rPr>
        <sz val="10"/>
        <rFont val="Arial"/>
        <family val="0"/>
        <charset val="1"/>
      </rPr>
      <t xml:space="preserve">(PO</t>
    </r>
    <r>
      <rPr>
        <sz val="10"/>
        <rFont val="Noto Sans CJK SC"/>
        <family val="2"/>
      </rPr>
      <t xml:space="preserve">・</t>
    </r>
    <r>
      <rPr>
        <sz val="10"/>
        <rFont val="Arial"/>
        <family val="0"/>
        <charset val="1"/>
      </rPr>
      <t xml:space="preserve">SM</t>
    </r>
    <r>
      <rPr>
        <sz val="10"/>
        <rFont val="Noto Sans CJK SC"/>
        <family val="2"/>
      </rPr>
      <t xml:space="preserve">・開発者</t>
    </r>
    <r>
      <rPr>
        <sz val="10"/>
        <rFont val="Arial"/>
        <family val="0"/>
        <charset val="1"/>
      </rPr>
      <t xml:space="preserve">)</t>
    </r>
    <r>
      <rPr>
        <sz val="10"/>
        <rFont val="Noto Sans CJK SC"/>
        <family val="2"/>
      </rPr>
      <t xml:space="preserve">、成果物</t>
    </r>
    <r>
      <rPr>
        <sz val="10"/>
        <rFont val="Arial"/>
        <family val="0"/>
        <charset val="1"/>
      </rPr>
      <t xml:space="preserve">(</t>
    </r>
    <r>
      <rPr>
        <sz val="10"/>
        <rFont val="Noto Sans CJK SC"/>
        <family val="2"/>
      </rPr>
      <t xml:space="preserve">プロダクトバックログ等</t>
    </r>
    <r>
      <rPr>
        <sz val="10"/>
        <rFont val="Arial"/>
        <family val="0"/>
        <charset val="1"/>
      </rPr>
      <t xml:space="preserve">)</t>
    </r>
    <r>
      <rPr>
        <sz val="10"/>
        <rFont val="Noto Sans CJK SC"/>
        <family val="2"/>
      </rPr>
      <t xml:space="preserve">、</t>
    </r>
    <r>
      <rPr>
        <sz val="10"/>
        <rFont val="Arial"/>
        <family val="0"/>
        <charset val="1"/>
      </rPr>
      <t xml:space="preserve">INVEST(</t>
    </r>
    <r>
      <rPr>
        <sz val="10"/>
        <rFont val="Noto Sans CJK SC"/>
        <family val="2"/>
      </rPr>
      <t xml:space="preserve">独立・交渉可能・価値・見積り可能・小さい・テスト可能</t>
    </r>
    <r>
      <rPr>
        <sz val="10"/>
        <rFont val="Arial"/>
        <family val="0"/>
        <charset val="1"/>
      </rPr>
      <t xml:space="preserve">)</t>
    </r>
    <r>
      <rPr>
        <sz val="10"/>
        <rFont val="Noto Sans CJK SC"/>
        <family val="2"/>
      </rPr>
      <t xml:space="preserve">、</t>
    </r>
    <r>
      <rPr>
        <sz val="10"/>
        <rFont val="Arial"/>
        <family val="0"/>
        <charset val="1"/>
      </rPr>
      <t xml:space="preserve">KPT</t>
    </r>
    <r>
      <rPr>
        <sz val="10"/>
        <rFont val="Noto Sans CJK SC"/>
        <family val="2"/>
      </rPr>
      <t xml:space="preserve">、インセプションデッキ、</t>
    </r>
    <r>
      <rPr>
        <sz val="10"/>
        <rFont val="Arial"/>
        <family val="0"/>
        <charset val="1"/>
      </rPr>
      <t xml:space="preserve">XP</t>
    </r>
  </si>
  <si>
    <r>
      <rPr>
        <sz val="10"/>
        <rFont val="Arial"/>
        <family val="0"/>
        <charset val="1"/>
      </rPr>
      <t xml:space="preserve">2015</t>
    </r>
    <r>
      <rPr>
        <sz val="10"/>
        <rFont val="Noto Sans CJK SC"/>
        <family val="2"/>
      </rPr>
      <t xml:space="preserve">・</t>
    </r>
    <r>
      <rPr>
        <sz val="10"/>
        <rFont val="Arial"/>
        <family val="0"/>
        <charset val="1"/>
      </rPr>
      <t xml:space="preserve">2016</t>
    </r>
    <r>
      <rPr>
        <sz val="10"/>
        <rFont val="Noto Sans CJK SC"/>
        <family val="2"/>
      </rPr>
      <t xml:space="preserve">・</t>
    </r>
    <r>
      <rPr>
        <sz val="10"/>
        <rFont val="Arial"/>
        <family val="0"/>
        <charset val="1"/>
      </rPr>
      <t xml:space="preserve">2018</t>
    </r>
    <r>
      <rPr>
        <sz val="10"/>
        <rFont val="Noto Sans CJK SC"/>
        <family val="2"/>
      </rPr>
      <t xml:space="preserve">・</t>
    </r>
    <r>
      <rPr>
        <sz val="10"/>
        <rFont val="Arial"/>
        <family val="0"/>
        <charset val="1"/>
      </rPr>
      <t xml:space="preserve">2019</t>
    </r>
    <r>
      <rPr>
        <sz val="10"/>
        <rFont val="Noto Sans CJK SC"/>
        <family val="2"/>
      </rPr>
      <t xml:space="preserve">・</t>
    </r>
    <r>
      <rPr>
        <sz val="10"/>
        <rFont val="Arial"/>
        <family val="0"/>
        <charset val="1"/>
      </rPr>
      <t xml:space="preserve">2021</t>
    </r>
  </si>
  <si>
    <r>
      <rPr>
        <sz val="10"/>
        <rFont val="Noto Sans CJK SC"/>
        <family val="2"/>
      </rPr>
      <t xml:space="preserve">同値分割・境界値分析・デシジョンテーブル・状態遷移テスト・原因結果グラフ、ホワイトボックス</t>
    </r>
    <r>
      <rPr>
        <sz val="10"/>
        <rFont val="Arial"/>
        <family val="0"/>
        <charset val="1"/>
      </rPr>
      <t xml:space="preserve">(</t>
    </r>
    <r>
      <rPr>
        <sz val="10"/>
        <rFont val="Noto Sans CJK SC"/>
        <family val="2"/>
      </rPr>
      <t xml:space="preserve">命令網羅・判定条件網羅・条件網羅・複数条件網羅</t>
    </r>
    <r>
      <rPr>
        <sz val="10"/>
        <rFont val="Arial"/>
        <family val="0"/>
        <charset val="1"/>
      </rPr>
      <t xml:space="preserve">)</t>
    </r>
    <r>
      <rPr>
        <sz val="10"/>
        <rFont val="Noto Sans CJK SC"/>
        <family val="2"/>
      </rPr>
      <t xml:space="preserve">、実験計画法</t>
    </r>
    <r>
      <rPr>
        <sz val="10"/>
        <rFont val="Arial"/>
        <family val="0"/>
        <charset val="1"/>
      </rPr>
      <t xml:space="preserve">(</t>
    </r>
    <r>
      <rPr>
        <sz val="10"/>
        <rFont val="Noto Sans CJK SC"/>
        <family val="2"/>
      </rPr>
      <t xml:space="preserve">直交表</t>
    </r>
    <r>
      <rPr>
        <sz val="10"/>
        <rFont val="Arial"/>
        <family val="0"/>
        <charset val="1"/>
      </rPr>
      <t xml:space="preserve">)</t>
    </r>
  </si>
  <si>
    <r>
      <rPr>
        <sz val="10"/>
        <rFont val="Arial"/>
        <family val="0"/>
        <charset val="1"/>
      </rPr>
      <t xml:space="preserve">2016</t>
    </r>
    <r>
      <rPr>
        <sz val="10"/>
        <rFont val="Noto Sans CJK SC"/>
        <family val="2"/>
      </rPr>
      <t xml:space="preserve">・</t>
    </r>
    <r>
      <rPr>
        <sz val="10"/>
        <rFont val="Arial"/>
        <family val="0"/>
        <charset val="1"/>
      </rPr>
      <t xml:space="preserve">2022</t>
    </r>
    <r>
      <rPr>
        <sz val="10"/>
        <rFont val="Noto Sans CJK SC"/>
        <family val="2"/>
      </rPr>
      <t xml:space="preserve">・</t>
    </r>
    <r>
      <rPr>
        <sz val="10"/>
        <rFont val="Arial"/>
        <family val="0"/>
        <charset val="1"/>
      </rPr>
      <t xml:space="preserve">2023</t>
    </r>
    <r>
      <rPr>
        <sz val="10"/>
        <rFont val="Noto Sans CJK SC"/>
        <family val="2"/>
      </rPr>
      <t xml:space="preserve">・</t>
    </r>
    <r>
      <rPr>
        <sz val="10"/>
        <rFont val="Arial"/>
        <family val="0"/>
        <charset val="1"/>
      </rPr>
      <t xml:space="preserve">2024</t>
    </r>
    <r>
      <rPr>
        <sz val="10"/>
        <rFont val="Noto Sans CJK SC"/>
        <family val="2"/>
      </rPr>
      <t xml:space="preserve">・</t>
    </r>
    <r>
      <rPr>
        <sz val="10"/>
        <rFont val="Arial"/>
        <family val="0"/>
        <charset val="1"/>
      </rPr>
      <t xml:space="preserve">2025</t>
    </r>
  </si>
  <si>
    <r>
      <rPr>
        <sz val="10"/>
        <rFont val="Arial"/>
        <family val="0"/>
        <charset val="1"/>
      </rPr>
      <t xml:space="preserve">ACID</t>
    </r>
    <r>
      <rPr>
        <sz val="10"/>
        <rFont val="Noto Sans CJK SC"/>
        <family val="2"/>
      </rPr>
      <t xml:space="preserve">特性、隔離性水準</t>
    </r>
    <r>
      <rPr>
        <sz val="10"/>
        <rFont val="Arial"/>
        <family val="0"/>
        <charset val="1"/>
      </rPr>
      <t xml:space="preserve">(READ COMMITTED</t>
    </r>
    <r>
      <rPr>
        <sz val="10"/>
        <rFont val="Noto Sans CJK SC"/>
        <family val="2"/>
      </rPr>
      <t xml:space="preserve">等</t>
    </r>
    <r>
      <rPr>
        <sz val="10"/>
        <rFont val="Arial"/>
        <family val="0"/>
        <charset val="1"/>
      </rPr>
      <t xml:space="preserve">)</t>
    </r>
    <r>
      <rPr>
        <sz val="10"/>
        <rFont val="Noto Sans CJK SC"/>
        <family val="2"/>
      </rPr>
      <t xml:space="preserve">とダーティリード・ノンリピータブルリード・ファントム、ロックとデッドロック</t>
    </r>
    <r>
      <rPr>
        <sz val="10"/>
        <rFont val="Arial"/>
        <family val="0"/>
        <charset val="1"/>
      </rPr>
      <t xml:space="preserve">(</t>
    </r>
    <r>
      <rPr>
        <sz val="10"/>
        <rFont val="Noto Sans CJK SC"/>
        <family val="2"/>
      </rPr>
      <t xml:space="preserve">待ちグラフ</t>
    </r>
    <r>
      <rPr>
        <sz val="10"/>
        <rFont val="Arial"/>
        <family val="0"/>
        <charset val="1"/>
      </rPr>
      <t xml:space="preserve">)</t>
    </r>
    <r>
      <rPr>
        <sz val="10"/>
        <rFont val="Noto Sans CJK SC"/>
        <family val="2"/>
      </rPr>
      <t xml:space="preserve">、コミットとロールバック、ログと障害回復。再出題はないが毎回出る</t>
    </r>
  </si>
  <si>
    <r>
      <rPr>
        <sz val="10"/>
        <rFont val="Arial"/>
        <family val="0"/>
        <charset val="1"/>
      </rPr>
      <t xml:space="preserve">2015</t>
    </r>
    <r>
      <rPr>
        <sz val="10"/>
        <rFont val="Noto Sans CJK SC"/>
        <family val="2"/>
      </rPr>
      <t xml:space="preserve">・</t>
    </r>
    <r>
      <rPr>
        <sz val="10"/>
        <rFont val="Arial"/>
        <family val="0"/>
        <charset val="1"/>
      </rPr>
      <t xml:space="preserve">2017</t>
    </r>
    <r>
      <rPr>
        <sz val="10"/>
        <rFont val="Noto Sans CJK SC"/>
        <family val="2"/>
      </rPr>
      <t xml:space="preserve">・</t>
    </r>
    <r>
      <rPr>
        <sz val="10"/>
        <rFont val="Arial"/>
        <family val="0"/>
        <charset val="1"/>
      </rPr>
      <t xml:space="preserve">2021</t>
    </r>
    <r>
      <rPr>
        <sz val="10"/>
        <rFont val="Noto Sans CJK SC"/>
        <family val="2"/>
      </rPr>
      <t xml:space="preserve">・</t>
    </r>
    <r>
      <rPr>
        <sz val="10"/>
        <rFont val="Arial"/>
        <family val="0"/>
        <charset val="1"/>
      </rPr>
      <t xml:space="preserve">2022</t>
    </r>
    <r>
      <rPr>
        <sz val="10"/>
        <rFont val="Noto Sans CJK SC"/>
        <family val="2"/>
      </rPr>
      <t xml:space="preserve">・</t>
    </r>
    <r>
      <rPr>
        <sz val="10"/>
        <rFont val="Arial"/>
        <family val="0"/>
        <charset val="1"/>
      </rPr>
      <t xml:space="preserve">2024</t>
    </r>
  </si>
  <si>
    <r>
      <rPr>
        <sz val="10"/>
        <rFont val="Noto Sans CJK SC"/>
        <family val="2"/>
      </rPr>
      <t xml:space="preserve">フェールセーフ</t>
    </r>
    <r>
      <rPr>
        <sz val="10"/>
        <rFont val="Arial"/>
        <family val="0"/>
        <charset val="1"/>
      </rPr>
      <t xml:space="preserve">(</t>
    </r>
    <r>
      <rPr>
        <sz val="10"/>
        <rFont val="Noto Sans CJK SC"/>
        <family val="2"/>
      </rPr>
      <t xml:space="preserve">安全側に停止</t>
    </r>
    <r>
      <rPr>
        <sz val="10"/>
        <rFont val="Arial"/>
        <family val="0"/>
        <charset val="1"/>
      </rPr>
      <t xml:space="preserve">)</t>
    </r>
    <r>
      <rPr>
        <sz val="10"/>
        <rFont val="Noto Sans CJK SC"/>
        <family val="2"/>
      </rPr>
      <t xml:space="preserve">・フェールソフト</t>
    </r>
    <r>
      <rPr>
        <sz val="10"/>
        <rFont val="Arial"/>
        <family val="0"/>
        <charset val="1"/>
      </rPr>
      <t xml:space="preserve">(</t>
    </r>
    <r>
      <rPr>
        <sz val="10"/>
        <rFont val="Noto Sans CJK SC"/>
        <family val="2"/>
      </rPr>
      <t xml:space="preserve">縮退運転</t>
    </r>
    <r>
      <rPr>
        <sz val="10"/>
        <rFont val="Arial"/>
        <family val="0"/>
        <charset val="1"/>
      </rPr>
      <t xml:space="preserve">)</t>
    </r>
    <r>
      <rPr>
        <sz val="10"/>
        <rFont val="Noto Sans CJK SC"/>
        <family val="2"/>
      </rPr>
      <t xml:space="preserve">・フォールトトレラント</t>
    </r>
    <r>
      <rPr>
        <sz val="10"/>
        <rFont val="Arial"/>
        <family val="0"/>
        <charset val="1"/>
      </rPr>
      <t xml:space="preserve">(</t>
    </r>
    <r>
      <rPr>
        <sz val="10"/>
        <rFont val="Noto Sans CJK SC"/>
        <family val="2"/>
      </rPr>
      <t xml:space="preserve">冗長化で継続</t>
    </r>
    <r>
      <rPr>
        <sz val="10"/>
        <rFont val="Arial"/>
        <family val="0"/>
        <charset val="1"/>
      </rPr>
      <t xml:space="preserve">)</t>
    </r>
    <r>
      <rPr>
        <sz val="10"/>
        <rFont val="Noto Sans CJK SC"/>
        <family val="2"/>
      </rPr>
      <t xml:space="preserve">・フールプルーフ</t>
    </r>
    <r>
      <rPr>
        <sz val="10"/>
        <rFont val="Arial"/>
        <family val="0"/>
        <charset val="1"/>
      </rPr>
      <t xml:space="preserve">(</t>
    </r>
    <r>
      <rPr>
        <sz val="10"/>
        <rFont val="Noto Sans CJK SC"/>
        <family val="2"/>
      </rPr>
      <t xml:space="preserve">誤操作防止</t>
    </r>
    <r>
      <rPr>
        <sz val="10"/>
        <rFont val="Arial"/>
        <family val="0"/>
        <charset val="1"/>
      </rPr>
      <t xml:space="preserve">)</t>
    </r>
    <r>
      <rPr>
        <sz val="10"/>
        <rFont val="Noto Sans CJK SC"/>
        <family val="2"/>
      </rPr>
      <t xml:space="preserve">の区別、冗長構成</t>
    </r>
    <r>
      <rPr>
        <sz val="10"/>
        <rFont val="Arial"/>
        <family val="0"/>
        <charset val="1"/>
      </rPr>
      <t xml:space="preserve">(</t>
    </r>
    <r>
      <rPr>
        <sz val="10"/>
        <rFont val="Noto Sans CJK SC"/>
        <family val="2"/>
      </rPr>
      <t xml:space="preserve">デュプレックス・デュアル・ホットスタンバイ</t>
    </r>
    <r>
      <rPr>
        <sz val="10"/>
        <rFont val="Arial"/>
        <family val="0"/>
        <charset val="1"/>
      </rPr>
      <t xml:space="preserve">)</t>
    </r>
  </si>
  <si>
    <r>
      <rPr>
        <sz val="10"/>
        <rFont val="Arial"/>
        <family val="0"/>
        <charset val="1"/>
      </rPr>
      <t xml:space="preserve">2016</t>
    </r>
    <r>
      <rPr>
        <sz val="10"/>
        <rFont val="Noto Sans CJK SC"/>
        <family val="2"/>
      </rPr>
      <t xml:space="preserve">・</t>
    </r>
    <r>
      <rPr>
        <sz val="10"/>
        <rFont val="Arial"/>
        <family val="0"/>
        <charset val="1"/>
      </rPr>
      <t xml:space="preserve">2018</t>
    </r>
    <r>
      <rPr>
        <sz val="10"/>
        <rFont val="Noto Sans CJK SC"/>
        <family val="2"/>
      </rPr>
      <t xml:space="preserve">・</t>
    </r>
    <r>
      <rPr>
        <sz val="10"/>
        <rFont val="Arial"/>
        <family val="0"/>
        <charset val="1"/>
      </rPr>
      <t xml:space="preserve">2021</t>
    </r>
    <r>
      <rPr>
        <sz val="10"/>
        <rFont val="Noto Sans CJK SC"/>
        <family val="2"/>
      </rPr>
      <t xml:space="preserve">・</t>
    </r>
    <r>
      <rPr>
        <sz val="10"/>
        <rFont val="Arial"/>
        <family val="0"/>
        <charset val="1"/>
      </rPr>
      <t xml:space="preserve">2024</t>
    </r>
  </si>
  <si>
    <r>
      <rPr>
        <sz val="10"/>
        <rFont val="Arial"/>
        <family val="0"/>
        <charset val="1"/>
      </rPr>
      <t xml:space="preserve">DAS</t>
    </r>
    <r>
      <rPr>
        <sz val="10"/>
        <rFont val="Noto Sans CJK SC"/>
        <family val="2"/>
      </rPr>
      <t xml:space="preserve">・</t>
    </r>
    <r>
      <rPr>
        <sz val="10"/>
        <rFont val="Arial"/>
        <family val="0"/>
        <charset val="1"/>
      </rPr>
      <t xml:space="preserve">NAS</t>
    </r>
    <r>
      <rPr>
        <sz val="10"/>
        <rFont val="Noto Sans CJK SC"/>
        <family val="2"/>
      </rPr>
      <t xml:space="preserve">・</t>
    </r>
    <r>
      <rPr>
        <sz val="10"/>
        <rFont val="Arial"/>
        <family val="0"/>
        <charset val="1"/>
      </rPr>
      <t xml:space="preserve">SAN</t>
    </r>
    <r>
      <rPr>
        <sz val="10"/>
        <rFont val="Noto Sans CJK SC"/>
        <family val="2"/>
      </rPr>
      <t xml:space="preserve">の違い、</t>
    </r>
    <r>
      <rPr>
        <sz val="10"/>
        <rFont val="Arial"/>
        <family val="0"/>
        <charset val="1"/>
      </rPr>
      <t xml:space="preserve">FC(</t>
    </r>
    <r>
      <rPr>
        <sz val="10"/>
        <rFont val="Noto Sans CJK SC"/>
        <family val="2"/>
      </rPr>
      <t xml:space="preserve">ファイバチャネル</t>
    </r>
    <r>
      <rPr>
        <sz val="10"/>
        <rFont val="Arial"/>
        <family val="0"/>
        <charset val="1"/>
      </rPr>
      <t xml:space="preserve">)</t>
    </r>
    <r>
      <rPr>
        <sz val="10"/>
        <rFont val="Noto Sans CJK SC"/>
        <family val="2"/>
      </rPr>
      <t xml:space="preserve">と</t>
    </r>
    <r>
      <rPr>
        <sz val="10"/>
        <rFont val="Arial"/>
        <family val="0"/>
        <charset val="1"/>
      </rPr>
      <t xml:space="preserve">iSCSI</t>
    </r>
    <r>
      <rPr>
        <sz val="10"/>
        <rFont val="Noto Sans CJK SC"/>
        <family val="2"/>
      </rPr>
      <t xml:space="preserve">、</t>
    </r>
    <r>
      <rPr>
        <sz val="10"/>
        <rFont val="Arial"/>
        <family val="0"/>
        <charset val="1"/>
      </rPr>
      <t xml:space="preserve">RAID</t>
    </r>
    <r>
      <rPr>
        <sz val="10"/>
        <rFont val="Noto Sans CJK SC"/>
        <family val="2"/>
      </rPr>
      <t xml:space="preserve">の種類、シンプロビジョニング、ストレージ仮想化、スナップショット、重複排除</t>
    </r>
  </si>
  <si>
    <r>
      <rPr>
        <sz val="10"/>
        <rFont val="Arial"/>
        <family val="0"/>
        <charset val="1"/>
      </rPr>
      <t xml:space="preserve">2017</t>
    </r>
    <r>
      <rPr>
        <sz val="10"/>
        <rFont val="Noto Sans CJK SC"/>
        <family val="2"/>
      </rPr>
      <t xml:space="preserve">・</t>
    </r>
    <r>
      <rPr>
        <sz val="10"/>
        <rFont val="Arial"/>
        <family val="0"/>
        <charset val="1"/>
      </rPr>
      <t xml:space="preserve">2019</t>
    </r>
    <r>
      <rPr>
        <sz val="10"/>
        <rFont val="Noto Sans CJK SC"/>
        <family val="2"/>
      </rPr>
      <t xml:space="preserve">・</t>
    </r>
    <r>
      <rPr>
        <sz val="10"/>
        <rFont val="Arial"/>
        <family val="0"/>
        <charset val="1"/>
      </rPr>
      <t xml:space="preserve">2021</t>
    </r>
    <r>
      <rPr>
        <sz val="10"/>
        <rFont val="Noto Sans CJK SC"/>
        <family val="2"/>
      </rPr>
      <t xml:space="preserve">・</t>
    </r>
    <r>
      <rPr>
        <sz val="10"/>
        <rFont val="Arial"/>
        <family val="0"/>
        <charset val="1"/>
      </rPr>
      <t xml:space="preserve">2023</t>
    </r>
    <r>
      <rPr>
        <sz val="10"/>
        <rFont val="Noto Sans CJK SC"/>
        <family val="2"/>
      </rPr>
      <t xml:space="preserve">・</t>
    </r>
    <r>
      <rPr>
        <sz val="10"/>
        <rFont val="Arial"/>
        <family val="0"/>
        <charset val="1"/>
      </rPr>
      <t xml:space="preserve">2024</t>
    </r>
  </si>
  <si>
    <r>
      <rPr>
        <sz val="10"/>
        <rFont val="Noto Sans CJK SC"/>
        <family val="2"/>
      </rPr>
      <t xml:space="preserve">パイプライン</t>
    </r>
    <r>
      <rPr>
        <sz val="10"/>
        <rFont val="Arial"/>
        <family val="0"/>
        <charset val="1"/>
      </rPr>
      <t xml:space="preserve">(</t>
    </r>
    <r>
      <rPr>
        <sz val="10"/>
        <rFont val="Noto Sans CJK SC"/>
        <family val="2"/>
      </rPr>
      <t xml:space="preserve">ハザード</t>
    </r>
    <r>
      <rPr>
        <sz val="10"/>
        <rFont val="Arial"/>
        <family val="0"/>
        <charset val="1"/>
      </rPr>
      <t xml:space="preserve">)</t>
    </r>
    <r>
      <rPr>
        <sz val="10"/>
        <rFont val="Noto Sans CJK SC"/>
        <family val="2"/>
      </rPr>
      <t xml:space="preserve">、スーパースカラ、ハーバードアーキテクチャ、</t>
    </r>
    <r>
      <rPr>
        <sz val="10"/>
        <rFont val="Arial"/>
        <family val="0"/>
        <charset val="1"/>
      </rPr>
      <t xml:space="preserve">CPI</t>
    </r>
    <r>
      <rPr>
        <sz val="10"/>
        <rFont val="Noto Sans CJK SC"/>
        <family val="2"/>
      </rPr>
      <t xml:space="preserve">と実行時間の計算、</t>
    </r>
    <r>
      <rPr>
        <sz val="10"/>
        <rFont val="Arial"/>
        <family val="0"/>
        <charset val="1"/>
      </rPr>
      <t xml:space="preserve">MIPS</t>
    </r>
    <r>
      <rPr>
        <sz val="10"/>
        <rFont val="Noto Sans CJK SC"/>
        <family val="2"/>
      </rPr>
      <t xml:space="preserve">、分岐予測</t>
    </r>
  </si>
  <si>
    <r>
      <rPr>
        <sz val="10"/>
        <rFont val="Arial"/>
        <family val="0"/>
        <charset val="1"/>
      </rPr>
      <t xml:space="preserve">2021</t>
    </r>
    <r>
      <rPr>
        <sz val="10"/>
        <rFont val="Noto Sans CJK SC"/>
        <family val="2"/>
      </rPr>
      <t xml:space="preserve">・</t>
    </r>
    <r>
      <rPr>
        <sz val="10"/>
        <rFont val="Arial"/>
        <family val="0"/>
        <charset val="1"/>
      </rPr>
      <t xml:space="preserve">2024</t>
    </r>
  </si>
  <si>
    <r>
      <rPr>
        <sz val="10"/>
        <rFont val="Noto Sans CJK SC"/>
        <family val="2"/>
      </rPr>
      <t xml:space="preserve">デザイン思考</t>
    </r>
    <r>
      <rPr>
        <sz val="10"/>
        <rFont val="Arial"/>
        <family val="0"/>
        <charset val="1"/>
      </rPr>
      <t xml:space="preserve">(</t>
    </r>
    <r>
      <rPr>
        <sz val="10"/>
        <rFont val="Noto Sans CJK SC"/>
        <family val="2"/>
      </rPr>
      <t xml:space="preserve">共感→問題定義→創造→プロトタイプ→テスト</t>
    </r>
    <r>
      <rPr>
        <sz val="10"/>
        <rFont val="Arial"/>
        <family val="0"/>
        <charset val="1"/>
      </rPr>
      <t xml:space="preserve">)</t>
    </r>
    <r>
      <rPr>
        <sz val="10"/>
        <rFont val="Noto Sans CJK SC"/>
        <family val="2"/>
      </rPr>
      <t xml:space="preserve">、</t>
    </r>
    <r>
      <rPr>
        <sz val="10"/>
        <rFont val="Arial"/>
        <family val="0"/>
        <charset val="1"/>
      </rPr>
      <t xml:space="preserve">CEM(</t>
    </r>
    <r>
      <rPr>
        <sz val="10"/>
        <rFont val="Noto Sans CJK SC"/>
        <family val="2"/>
      </rPr>
      <t xml:space="preserve">顧客経験価値管理</t>
    </r>
    <r>
      <rPr>
        <sz val="10"/>
        <rFont val="Arial"/>
        <family val="0"/>
        <charset val="1"/>
      </rPr>
      <t xml:space="preserve">)</t>
    </r>
    <r>
      <rPr>
        <sz val="10"/>
        <rFont val="Noto Sans CJK SC"/>
        <family val="2"/>
      </rPr>
      <t xml:space="preserve">、水平型と垂直型プロトタイプ、リーンソフトウェア開発、人間中心設計</t>
    </r>
    <r>
      <rPr>
        <sz val="10"/>
        <rFont val="Arial"/>
        <family val="0"/>
        <charset val="1"/>
      </rPr>
      <t xml:space="preserve">(ISO 9241-210)</t>
    </r>
  </si>
  <si>
    <r>
      <rPr>
        <sz val="10"/>
        <rFont val="Arial"/>
        <family val="0"/>
        <charset val="1"/>
      </rPr>
      <t xml:space="preserve">SQL</t>
    </r>
    <r>
      <rPr>
        <sz val="10"/>
        <rFont val="Noto Sans CJK SC"/>
        <family val="2"/>
      </rPr>
      <t xml:space="preserve">インジェクション</t>
    </r>
    <r>
      <rPr>
        <sz val="10"/>
        <rFont val="Arial"/>
        <family val="0"/>
        <charset val="1"/>
      </rPr>
      <t xml:space="preserve">(</t>
    </r>
    <r>
      <rPr>
        <sz val="10"/>
        <rFont val="Noto Sans CJK SC"/>
        <family val="2"/>
      </rPr>
      <t xml:space="preserve">静的プレースホルダ</t>
    </r>
    <r>
      <rPr>
        <sz val="10"/>
        <rFont val="Arial"/>
        <family val="0"/>
        <charset val="1"/>
      </rPr>
      <t xml:space="preserve">)</t>
    </r>
    <r>
      <rPr>
        <sz val="10"/>
        <rFont val="Noto Sans CJK SC"/>
        <family val="2"/>
      </rPr>
      <t xml:space="preserve">、</t>
    </r>
    <r>
      <rPr>
        <sz val="10"/>
        <rFont val="Arial"/>
        <family val="0"/>
        <charset val="1"/>
      </rPr>
      <t xml:space="preserve">XSS(</t>
    </r>
    <r>
      <rPr>
        <sz val="10"/>
        <rFont val="Noto Sans CJK SC"/>
        <family val="2"/>
      </rPr>
      <t xml:space="preserve">格納型・反射型・</t>
    </r>
    <r>
      <rPr>
        <sz val="10"/>
        <rFont val="Arial"/>
        <family val="0"/>
        <charset val="1"/>
      </rPr>
      <t xml:space="preserve">DOM</t>
    </r>
    <r>
      <rPr>
        <sz val="10"/>
        <rFont val="Noto Sans CJK SC"/>
        <family val="2"/>
      </rPr>
      <t xml:space="preserve">型</t>
    </r>
    <r>
      <rPr>
        <sz val="10"/>
        <rFont val="Arial"/>
        <family val="0"/>
        <charset val="1"/>
      </rPr>
      <t xml:space="preserve">)</t>
    </r>
    <r>
      <rPr>
        <sz val="10"/>
        <rFont val="Noto Sans CJK SC"/>
        <family val="2"/>
      </rPr>
      <t xml:space="preserve">、</t>
    </r>
    <r>
      <rPr>
        <sz val="10"/>
        <rFont val="Arial"/>
        <family val="0"/>
        <charset val="1"/>
      </rPr>
      <t xml:space="preserve">CSRF(</t>
    </r>
    <r>
      <rPr>
        <sz val="10"/>
        <rFont val="Noto Sans CJK SC"/>
        <family val="2"/>
      </rPr>
      <t xml:space="preserve">トークン</t>
    </r>
    <r>
      <rPr>
        <sz val="10"/>
        <rFont val="Arial"/>
        <family val="0"/>
        <charset val="1"/>
      </rPr>
      <t xml:space="preserve">)</t>
    </r>
    <r>
      <rPr>
        <sz val="10"/>
        <rFont val="Noto Sans CJK SC"/>
        <family val="2"/>
      </rPr>
      <t xml:space="preserve">、セッションハイジャックと固定化、</t>
    </r>
    <r>
      <rPr>
        <sz val="10"/>
        <rFont val="Arial"/>
        <family val="0"/>
        <charset val="1"/>
      </rPr>
      <t xml:space="preserve">WAF</t>
    </r>
    <r>
      <rPr>
        <sz val="10"/>
        <rFont val="Noto Sans CJK SC"/>
        <family val="2"/>
      </rPr>
      <t xml:space="preserve">の検知方式、安全な</t>
    </r>
    <r>
      <rPr>
        <sz val="10"/>
        <rFont val="Arial"/>
        <family val="0"/>
        <charset val="1"/>
      </rPr>
      <t xml:space="preserve">Web</t>
    </r>
    <r>
      <rPr>
        <sz val="10"/>
        <rFont val="Noto Sans CJK SC"/>
        <family val="2"/>
      </rPr>
      <t xml:space="preserve">アプリの作り方</t>
    </r>
  </si>
  <si>
    <r>
      <rPr>
        <sz val="10"/>
        <rFont val="Arial"/>
        <family val="0"/>
        <charset val="1"/>
      </rPr>
      <t xml:space="preserve">2017</t>
    </r>
    <r>
      <rPr>
        <sz val="10"/>
        <rFont val="Noto Sans CJK SC"/>
        <family val="2"/>
      </rPr>
      <t xml:space="preserve">・</t>
    </r>
    <r>
      <rPr>
        <sz val="10"/>
        <rFont val="Arial"/>
        <family val="0"/>
        <charset val="1"/>
      </rPr>
      <t xml:space="preserve">2021</t>
    </r>
    <r>
      <rPr>
        <sz val="10"/>
        <rFont val="Noto Sans CJK SC"/>
        <family val="2"/>
      </rPr>
      <t xml:space="preserve">・</t>
    </r>
    <r>
      <rPr>
        <sz val="10"/>
        <rFont val="Arial"/>
        <family val="0"/>
        <charset val="1"/>
      </rPr>
      <t xml:space="preserve">2023</t>
    </r>
    <r>
      <rPr>
        <sz val="10"/>
        <rFont val="Noto Sans CJK SC"/>
        <family val="2"/>
      </rPr>
      <t xml:space="preserve">・</t>
    </r>
    <r>
      <rPr>
        <sz val="10"/>
        <rFont val="Arial"/>
        <family val="0"/>
        <charset val="1"/>
      </rPr>
      <t xml:space="preserve">2025</t>
    </r>
  </si>
  <si>
    <r>
      <rPr>
        <sz val="10"/>
        <rFont val="Arial"/>
        <family val="0"/>
        <charset val="1"/>
      </rPr>
      <t xml:space="preserve">OP25B</t>
    </r>
    <r>
      <rPr>
        <sz val="10"/>
        <rFont val="Noto Sans CJK SC"/>
        <family val="2"/>
      </rPr>
      <t xml:space="preserve">とサブミッションポート</t>
    </r>
    <r>
      <rPr>
        <sz val="10"/>
        <rFont val="Arial"/>
        <family val="0"/>
        <charset val="1"/>
      </rPr>
      <t xml:space="preserve">587(SMTP-AUTH)</t>
    </r>
    <r>
      <rPr>
        <sz val="10"/>
        <rFont val="Noto Sans CJK SC"/>
        <family val="2"/>
      </rPr>
      <t xml:space="preserve">、</t>
    </r>
    <r>
      <rPr>
        <sz val="10"/>
        <rFont val="Arial"/>
        <family val="0"/>
        <charset val="1"/>
      </rPr>
      <t xml:space="preserve">SPF</t>
    </r>
    <r>
      <rPr>
        <sz val="10"/>
        <rFont val="Noto Sans CJK SC"/>
        <family val="2"/>
      </rPr>
      <t xml:space="preserve">・</t>
    </r>
    <r>
      <rPr>
        <sz val="10"/>
        <rFont val="Arial"/>
        <family val="0"/>
        <charset val="1"/>
      </rPr>
      <t xml:space="preserve">DKIM</t>
    </r>
    <r>
      <rPr>
        <sz val="10"/>
        <rFont val="Noto Sans CJK SC"/>
        <family val="2"/>
      </rPr>
      <t xml:space="preserve">・</t>
    </r>
    <r>
      <rPr>
        <sz val="10"/>
        <rFont val="Arial"/>
        <family val="0"/>
        <charset val="1"/>
      </rPr>
      <t xml:space="preserve">DMARC</t>
    </r>
    <r>
      <rPr>
        <sz val="10"/>
        <rFont val="Noto Sans CJK SC"/>
        <family val="2"/>
      </rPr>
      <t xml:space="preserve">、</t>
    </r>
    <r>
      <rPr>
        <sz val="10"/>
        <rFont val="Arial"/>
        <family val="0"/>
        <charset val="1"/>
      </rPr>
      <t xml:space="preserve">S/MIME</t>
    </r>
    <r>
      <rPr>
        <sz val="10"/>
        <rFont val="Noto Sans CJK SC"/>
        <family val="2"/>
      </rPr>
      <t xml:space="preserve">、</t>
    </r>
    <r>
      <rPr>
        <sz val="10"/>
        <rFont val="Arial"/>
        <family val="0"/>
        <charset val="1"/>
      </rPr>
      <t xml:space="preserve">STARTTLS</t>
    </r>
    <r>
      <rPr>
        <sz val="10"/>
        <rFont val="Noto Sans CJK SC"/>
        <family val="2"/>
      </rPr>
      <t xml:space="preserve">、ベイジアンフィルタ</t>
    </r>
    <r>
      <rPr>
        <sz val="10"/>
        <rFont val="Arial"/>
        <family val="0"/>
        <charset val="1"/>
      </rPr>
      <t xml:space="preserve">(</t>
    </r>
    <r>
      <rPr>
        <sz val="10"/>
        <rFont val="Noto Sans CJK SC"/>
        <family val="2"/>
      </rPr>
      <t xml:space="preserve">確率的判定</t>
    </r>
    <r>
      <rPr>
        <sz val="10"/>
        <rFont val="Arial"/>
        <family val="0"/>
        <charset val="1"/>
      </rPr>
      <t xml:space="preserve">)</t>
    </r>
  </si>
  <si>
    <r>
      <rPr>
        <sz val="10"/>
        <rFont val="Arial"/>
        <family val="0"/>
        <charset val="1"/>
      </rPr>
      <t xml:space="preserve">2019</t>
    </r>
    <r>
      <rPr>
        <sz val="10"/>
        <rFont val="Noto Sans CJK SC"/>
        <family val="2"/>
      </rPr>
      <t xml:space="preserve">・</t>
    </r>
    <r>
      <rPr>
        <sz val="10"/>
        <rFont val="Arial"/>
        <family val="0"/>
        <charset val="1"/>
      </rPr>
      <t xml:space="preserve">2023</t>
    </r>
    <r>
      <rPr>
        <sz val="10"/>
        <rFont val="Noto Sans CJK SC"/>
        <family val="2"/>
      </rPr>
      <t xml:space="preserve">・</t>
    </r>
    <r>
      <rPr>
        <sz val="10"/>
        <rFont val="Arial"/>
        <family val="0"/>
        <charset val="1"/>
      </rPr>
      <t xml:space="preserve">2025</t>
    </r>
  </si>
  <si>
    <r>
      <rPr>
        <sz val="10"/>
        <rFont val="Noto Sans CJK SC"/>
        <family val="2"/>
      </rPr>
      <t xml:space="preserve">教師あり・教師なし・強化学習、ディープラーニング</t>
    </r>
    <r>
      <rPr>
        <sz val="10"/>
        <rFont val="Arial"/>
        <family val="0"/>
        <charset val="1"/>
      </rPr>
      <t xml:space="preserve">(CNN</t>
    </r>
    <r>
      <rPr>
        <sz val="10"/>
        <rFont val="Noto Sans CJK SC"/>
        <family val="2"/>
      </rPr>
      <t xml:space="preserve">・</t>
    </r>
    <r>
      <rPr>
        <sz val="10"/>
        <rFont val="Arial"/>
        <family val="0"/>
        <charset val="1"/>
      </rPr>
      <t xml:space="preserve">RNN</t>
    </r>
    <r>
      <rPr>
        <sz val="10"/>
        <rFont val="Noto Sans CJK SC"/>
        <family val="2"/>
      </rPr>
      <t xml:space="preserve">・過学習</t>
    </r>
    <r>
      <rPr>
        <sz val="10"/>
        <rFont val="Arial"/>
        <family val="0"/>
        <charset val="1"/>
      </rPr>
      <t xml:space="preserve">)</t>
    </r>
    <r>
      <rPr>
        <sz val="10"/>
        <rFont val="Noto Sans CJK SC"/>
        <family val="2"/>
      </rPr>
      <t xml:space="preserve">、協調フィルタリング</t>
    </r>
    <r>
      <rPr>
        <sz val="10"/>
        <rFont val="Arial"/>
        <family val="0"/>
        <charset val="1"/>
      </rPr>
      <t xml:space="preserve">(</t>
    </r>
    <r>
      <rPr>
        <sz val="10"/>
        <rFont val="Noto Sans CJK SC"/>
        <family val="2"/>
      </rPr>
      <t xml:space="preserve">レコメンデーション</t>
    </r>
    <r>
      <rPr>
        <sz val="10"/>
        <rFont val="Arial"/>
        <family val="0"/>
        <charset val="1"/>
      </rPr>
      <t xml:space="preserve">)</t>
    </r>
    <r>
      <rPr>
        <sz val="10"/>
        <rFont val="Noto Sans CJK SC"/>
        <family val="2"/>
      </rPr>
      <t xml:space="preserve">、チャットボット、適合率と再現率</t>
    </r>
  </si>
  <si>
    <r>
      <rPr>
        <sz val="10"/>
        <rFont val="Arial"/>
        <family val="0"/>
        <charset val="1"/>
      </rPr>
      <t xml:space="preserve">2018</t>
    </r>
    <r>
      <rPr>
        <sz val="10"/>
        <rFont val="Noto Sans CJK SC"/>
        <family val="2"/>
      </rPr>
      <t xml:space="preserve">・</t>
    </r>
    <r>
      <rPr>
        <sz val="10"/>
        <rFont val="Arial"/>
        <family val="0"/>
        <charset val="1"/>
      </rPr>
      <t xml:space="preserve">2021</t>
    </r>
    <r>
      <rPr>
        <sz val="10"/>
        <rFont val="Noto Sans CJK SC"/>
        <family val="2"/>
      </rPr>
      <t xml:space="preserve">・</t>
    </r>
    <r>
      <rPr>
        <sz val="10"/>
        <rFont val="Arial"/>
        <family val="0"/>
        <charset val="1"/>
      </rPr>
      <t xml:space="preserve">2023</t>
    </r>
    <r>
      <rPr>
        <sz val="10"/>
        <rFont val="Noto Sans CJK SC"/>
        <family val="2"/>
      </rPr>
      <t xml:space="preserve">・</t>
    </r>
    <r>
      <rPr>
        <sz val="10"/>
        <rFont val="Arial"/>
        <family val="0"/>
        <charset val="1"/>
      </rPr>
      <t xml:space="preserve">2024</t>
    </r>
  </si>
  <si>
    <r>
      <rPr>
        <sz val="10"/>
        <rFont val="Noto Sans CJK SC"/>
        <family val="2"/>
      </rPr>
      <t xml:space="preserve">政府調達の入札で内外無差別を求める協定。対象機関・基準額・入札手続の透明性</t>
    </r>
    <r>
      <rPr>
        <sz val="10"/>
        <rFont val="Arial"/>
        <family val="0"/>
        <charset val="1"/>
      </rPr>
      <t xml:space="preserve">(</t>
    </r>
    <r>
      <rPr>
        <sz val="10"/>
        <rFont val="Noto Sans CJK SC"/>
        <family val="2"/>
      </rPr>
      <t xml:space="preserve">公示・公開</t>
    </r>
    <r>
      <rPr>
        <sz val="10"/>
        <rFont val="Arial"/>
        <family val="0"/>
        <charset val="1"/>
      </rPr>
      <t xml:space="preserve">)</t>
    </r>
    <r>
      <rPr>
        <sz val="10"/>
        <rFont val="Noto Sans CJK SC"/>
        <family val="2"/>
      </rPr>
      <t xml:space="preserve">。同じ設問が</t>
    </r>
    <r>
      <rPr>
        <sz val="10"/>
        <rFont val="Arial"/>
        <family val="0"/>
        <charset val="1"/>
      </rPr>
      <t xml:space="preserve">3</t>
    </r>
    <r>
      <rPr>
        <sz val="10"/>
        <rFont val="Noto Sans CJK SC"/>
        <family val="2"/>
      </rPr>
      <t xml:space="preserve">回出ている</t>
    </r>
  </si>
  <si>
    <r>
      <rPr>
        <sz val="10"/>
        <rFont val="Arial"/>
        <family val="0"/>
        <charset val="1"/>
      </rPr>
      <t xml:space="preserve">2015</t>
    </r>
    <r>
      <rPr>
        <sz val="10"/>
        <rFont val="Noto Sans CJK SC"/>
        <family val="2"/>
      </rPr>
      <t xml:space="preserve">・</t>
    </r>
    <r>
      <rPr>
        <sz val="10"/>
        <rFont val="Arial"/>
        <family val="0"/>
        <charset val="1"/>
      </rPr>
      <t xml:space="preserve">2017</t>
    </r>
    <r>
      <rPr>
        <sz val="10"/>
        <rFont val="Noto Sans CJK SC"/>
        <family val="2"/>
      </rPr>
      <t xml:space="preserve">・</t>
    </r>
    <r>
      <rPr>
        <sz val="10"/>
        <rFont val="Arial"/>
        <family val="0"/>
        <charset val="1"/>
      </rPr>
      <t xml:space="preserve">2019</t>
    </r>
    <r>
      <rPr>
        <sz val="10"/>
        <rFont val="Noto Sans CJK SC"/>
        <family val="2"/>
      </rPr>
      <t xml:space="preserve">・</t>
    </r>
    <r>
      <rPr>
        <sz val="10"/>
        <rFont val="Arial"/>
        <family val="0"/>
        <charset val="1"/>
      </rPr>
      <t xml:space="preserve">2023</t>
    </r>
  </si>
  <si>
    <r>
      <rPr>
        <sz val="10"/>
        <rFont val="Noto Sans CJK SC"/>
        <family val="2"/>
      </rPr>
      <t xml:space="preserve">クラス図</t>
    </r>
    <r>
      <rPr>
        <sz val="10"/>
        <rFont val="Arial"/>
        <family val="0"/>
        <charset val="1"/>
      </rPr>
      <t xml:space="preserve">(</t>
    </r>
    <r>
      <rPr>
        <sz val="10"/>
        <rFont val="Noto Sans CJK SC"/>
        <family val="2"/>
      </rPr>
      <t xml:space="preserve">可視性・関連・集約・コンポジション・汎化・多重度</t>
    </r>
    <r>
      <rPr>
        <sz val="10"/>
        <rFont val="Arial"/>
        <family val="0"/>
        <charset val="1"/>
      </rPr>
      <t xml:space="preserve">)</t>
    </r>
    <r>
      <rPr>
        <sz val="10"/>
        <rFont val="Noto Sans CJK SC"/>
        <family val="2"/>
      </rPr>
      <t xml:space="preserve">、ステートマシン図、アクティビティ図</t>
    </r>
    <r>
      <rPr>
        <sz val="10"/>
        <rFont val="Arial"/>
        <family val="0"/>
        <charset val="1"/>
      </rPr>
      <t xml:space="preserve">(</t>
    </r>
    <r>
      <rPr>
        <sz val="10"/>
        <rFont val="Noto Sans CJK SC"/>
        <family val="2"/>
      </rPr>
      <t xml:space="preserve">分岐・並行</t>
    </r>
    <r>
      <rPr>
        <sz val="10"/>
        <rFont val="Arial"/>
        <family val="0"/>
        <charset val="1"/>
      </rPr>
      <t xml:space="preserve">)</t>
    </r>
    <r>
      <rPr>
        <sz val="10"/>
        <rFont val="Noto Sans CJK SC"/>
        <family val="2"/>
      </rPr>
      <t xml:space="preserve">、シーケンス図、ユースケース図</t>
    </r>
  </si>
  <si>
    <r>
      <rPr>
        <sz val="10"/>
        <rFont val="Arial"/>
        <family val="0"/>
        <charset val="1"/>
      </rPr>
      <t xml:space="preserve">2016</t>
    </r>
    <r>
      <rPr>
        <sz val="10"/>
        <rFont val="Noto Sans CJK SC"/>
        <family val="2"/>
      </rPr>
      <t xml:space="preserve">・</t>
    </r>
    <r>
      <rPr>
        <sz val="10"/>
        <rFont val="Arial"/>
        <family val="0"/>
        <charset val="1"/>
      </rPr>
      <t xml:space="preserve">2018</t>
    </r>
    <r>
      <rPr>
        <sz val="10"/>
        <rFont val="Noto Sans CJK SC"/>
        <family val="2"/>
      </rPr>
      <t xml:space="preserve">・</t>
    </r>
    <r>
      <rPr>
        <sz val="10"/>
        <rFont val="Arial"/>
        <family val="0"/>
        <charset val="1"/>
      </rPr>
      <t xml:space="preserve">2021</t>
    </r>
    <r>
      <rPr>
        <sz val="10"/>
        <rFont val="Noto Sans CJK SC"/>
        <family val="2"/>
      </rPr>
      <t xml:space="preserve">・</t>
    </r>
    <r>
      <rPr>
        <sz val="10"/>
        <rFont val="Arial"/>
        <family val="0"/>
        <charset val="1"/>
      </rPr>
      <t xml:space="preserve">2023</t>
    </r>
  </si>
  <si>
    <r>
      <rPr>
        <sz val="10"/>
        <rFont val="Noto Sans CJK SC"/>
        <family val="2"/>
      </rPr>
      <t xml:space="preserve">製品品質の</t>
    </r>
    <r>
      <rPr>
        <sz val="10"/>
        <rFont val="Arial"/>
        <family val="0"/>
        <charset val="1"/>
      </rPr>
      <t xml:space="preserve">8</t>
    </r>
    <r>
      <rPr>
        <sz val="10"/>
        <rFont val="Noto Sans CJK SC"/>
        <family val="2"/>
      </rPr>
      <t xml:space="preserve">特性</t>
    </r>
    <r>
      <rPr>
        <sz val="10"/>
        <rFont val="Arial"/>
        <family val="0"/>
        <charset val="1"/>
      </rPr>
      <t xml:space="preserve">(</t>
    </r>
    <r>
      <rPr>
        <sz val="10"/>
        <rFont val="Noto Sans CJK SC"/>
        <family val="2"/>
      </rPr>
      <t xml:space="preserve">機能適合性・性能効率性・互換性・使用性・信頼性・セキュリティ・保守性・移植性</t>
    </r>
    <r>
      <rPr>
        <sz val="10"/>
        <rFont val="Arial"/>
        <family val="0"/>
        <charset val="1"/>
      </rPr>
      <t xml:space="preserve">)</t>
    </r>
    <r>
      <rPr>
        <sz val="10"/>
        <rFont val="Noto Sans CJK SC"/>
        <family val="2"/>
      </rPr>
      <t xml:space="preserve">と副特性、利用時の品質</t>
    </r>
    <r>
      <rPr>
        <sz val="10"/>
        <rFont val="Arial"/>
        <family val="0"/>
        <charset val="1"/>
      </rPr>
      <t xml:space="preserve">(</t>
    </r>
    <r>
      <rPr>
        <sz val="10"/>
        <rFont val="Noto Sans CJK SC"/>
        <family val="2"/>
      </rPr>
      <t xml:space="preserve">有効性・効率性・満足性・リスク回避性・利用状況網羅性</t>
    </r>
    <r>
      <rPr>
        <sz val="10"/>
        <rFont val="Arial"/>
        <family val="0"/>
        <charset val="1"/>
      </rPr>
      <t xml:space="preserve">)</t>
    </r>
  </si>
  <si>
    <r>
      <rPr>
        <sz val="10"/>
        <rFont val="Arial"/>
        <family val="0"/>
        <charset val="1"/>
      </rPr>
      <t xml:space="preserve">2016</t>
    </r>
    <r>
      <rPr>
        <sz val="10"/>
        <rFont val="Noto Sans CJK SC"/>
        <family val="2"/>
      </rPr>
      <t xml:space="preserve">・</t>
    </r>
    <r>
      <rPr>
        <sz val="10"/>
        <rFont val="Arial"/>
        <family val="0"/>
        <charset val="1"/>
      </rPr>
      <t xml:space="preserve">2017</t>
    </r>
    <r>
      <rPr>
        <sz val="10"/>
        <rFont val="Noto Sans CJK SC"/>
        <family val="2"/>
      </rPr>
      <t xml:space="preserve">・</t>
    </r>
    <r>
      <rPr>
        <sz val="10"/>
        <rFont val="Arial"/>
        <family val="0"/>
        <charset val="1"/>
      </rPr>
      <t xml:space="preserve">2019</t>
    </r>
    <r>
      <rPr>
        <sz val="10"/>
        <rFont val="Noto Sans CJK SC"/>
        <family val="2"/>
      </rPr>
      <t xml:space="preserve">・</t>
    </r>
    <r>
      <rPr>
        <sz val="10"/>
        <rFont val="Arial"/>
        <family val="0"/>
        <charset val="1"/>
      </rPr>
      <t xml:space="preserve">2022</t>
    </r>
  </si>
  <si>
    <r>
      <rPr>
        <sz val="10"/>
        <rFont val="Noto Sans CJK SC"/>
        <family val="2"/>
      </rPr>
      <t xml:space="preserve">バグ管理図と信頼度成長曲線の読み方、エラー埋込み法の潜在バグ数推定</t>
    </r>
    <r>
      <rPr>
        <sz val="10"/>
        <rFont val="Arial"/>
        <family val="0"/>
        <charset val="1"/>
      </rPr>
      <t xml:space="preserve">(</t>
    </r>
    <r>
      <rPr>
        <sz val="10"/>
        <rFont val="Noto Sans CJK SC"/>
        <family val="2"/>
      </rPr>
      <t xml:space="preserve">総自然バグ数≒埋込み数</t>
    </r>
    <r>
      <rPr>
        <sz val="10"/>
        <rFont val="Arial"/>
        <family val="0"/>
        <charset val="1"/>
      </rPr>
      <t xml:space="preserve">×</t>
    </r>
    <r>
      <rPr>
        <sz val="10"/>
        <rFont val="Noto Sans CJK SC"/>
        <family val="2"/>
      </rPr>
      <t xml:space="preserve">検出した自然バグ数</t>
    </r>
    <r>
      <rPr>
        <sz val="10"/>
        <rFont val="Arial"/>
        <family val="0"/>
        <charset val="1"/>
      </rPr>
      <t xml:space="preserve">÷</t>
    </r>
    <r>
      <rPr>
        <sz val="10"/>
        <rFont val="Noto Sans CJK SC"/>
        <family val="2"/>
      </rPr>
      <t xml:space="preserve">検出した埋込みバグ数</t>
    </r>
    <r>
      <rPr>
        <sz val="10"/>
        <rFont val="Arial"/>
        <family val="0"/>
        <charset val="1"/>
      </rPr>
      <t xml:space="preserve">)</t>
    </r>
  </si>
  <si>
    <r>
      <rPr>
        <sz val="10"/>
        <rFont val="Arial"/>
        <family val="0"/>
        <charset val="1"/>
      </rPr>
      <t xml:space="preserve">2017</t>
    </r>
    <r>
      <rPr>
        <sz val="10"/>
        <rFont val="Noto Sans CJK SC"/>
        <family val="2"/>
      </rPr>
      <t xml:space="preserve">・</t>
    </r>
    <r>
      <rPr>
        <sz val="10"/>
        <rFont val="Arial"/>
        <family val="0"/>
        <charset val="1"/>
      </rPr>
      <t xml:space="preserve">2018</t>
    </r>
    <r>
      <rPr>
        <sz val="10"/>
        <rFont val="Noto Sans CJK SC"/>
        <family val="2"/>
      </rPr>
      <t xml:space="preserve">・</t>
    </r>
    <r>
      <rPr>
        <sz val="10"/>
        <rFont val="Arial"/>
        <family val="0"/>
        <charset val="1"/>
      </rPr>
      <t xml:space="preserve">2022</t>
    </r>
  </si>
  <si>
    <r>
      <rPr>
        <sz val="10"/>
        <rFont val="Noto Sans CJK SC"/>
        <family val="2"/>
      </rPr>
      <t xml:space="preserve">バランススコアカード</t>
    </r>
    <r>
      <rPr>
        <sz val="10"/>
        <rFont val="Arial"/>
        <family val="0"/>
        <charset val="1"/>
      </rPr>
      <t xml:space="preserve">(</t>
    </r>
    <r>
      <rPr>
        <sz val="10"/>
        <rFont val="Noto Sans CJK SC"/>
        <family val="2"/>
      </rPr>
      <t xml:space="preserve">財務・顧客・業務プロセス・学習と成長</t>
    </r>
    <r>
      <rPr>
        <sz val="10"/>
        <rFont val="Arial"/>
        <family val="0"/>
        <charset val="1"/>
      </rPr>
      <t xml:space="preserve">)</t>
    </r>
    <r>
      <rPr>
        <sz val="10"/>
        <rFont val="Noto Sans CJK SC"/>
        <family val="2"/>
      </rPr>
      <t xml:space="preserve">と</t>
    </r>
    <r>
      <rPr>
        <sz val="10"/>
        <rFont val="Arial"/>
        <family val="0"/>
        <charset val="1"/>
      </rPr>
      <t xml:space="preserve">KPI</t>
    </r>
    <r>
      <rPr>
        <sz val="10"/>
        <rFont val="Noto Sans CJK SC"/>
        <family val="2"/>
      </rPr>
      <t xml:space="preserve">、</t>
    </r>
    <r>
      <rPr>
        <sz val="10"/>
        <rFont val="Arial"/>
        <family val="0"/>
        <charset val="1"/>
      </rPr>
      <t xml:space="preserve">ROI</t>
    </r>
    <r>
      <rPr>
        <sz val="10"/>
        <rFont val="Noto Sans CJK SC"/>
        <family val="2"/>
      </rPr>
      <t xml:space="preserve">・</t>
    </r>
    <r>
      <rPr>
        <sz val="10"/>
        <rFont val="Arial"/>
        <family val="0"/>
        <charset val="1"/>
      </rPr>
      <t xml:space="preserve">NPV</t>
    </r>
    <r>
      <rPr>
        <sz val="10"/>
        <rFont val="Noto Sans CJK SC"/>
        <family val="2"/>
      </rPr>
      <t xml:space="preserve">・</t>
    </r>
    <r>
      <rPr>
        <sz val="10"/>
        <rFont val="Arial"/>
        <family val="0"/>
        <charset val="1"/>
      </rPr>
      <t xml:space="preserve">IRR</t>
    </r>
    <r>
      <rPr>
        <sz val="10"/>
        <rFont val="Noto Sans CJK SC"/>
        <family val="2"/>
      </rPr>
      <t xml:space="preserve">・投資回収期間、</t>
    </r>
    <r>
      <rPr>
        <sz val="10"/>
        <rFont val="Arial"/>
        <family val="0"/>
        <charset val="1"/>
      </rPr>
      <t xml:space="preserve">IT</t>
    </r>
    <r>
      <rPr>
        <sz val="10"/>
        <rFont val="Noto Sans CJK SC"/>
        <family val="2"/>
      </rPr>
      <t xml:space="preserve">投資の分類、</t>
    </r>
    <r>
      <rPr>
        <sz val="10"/>
        <rFont val="Arial"/>
        <family val="0"/>
        <charset val="1"/>
      </rPr>
      <t xml:space="preserve">NRE(</t>
    </r>
    <r>
      <rPr>
        <sz val="10"/>
        <rFont val="Noto Sans CJK SC"/>
        <family val="2"/>
      </rPr>
      <t xml:space="preserve">一括費用</t>
    </r>
    <r>
      <rPr>
        <sz val="10"/>
        <rFont val="Arial"/>
        <family val="0"/>
        <charset val="1"/>
      </rPr>
      <t xml:space="preserve">)</t>
    </r>
  </si>
  <si>
    <r>
      <rPr>
        <sz val="10"/>
        <rFont val="Arial"/>
        <family val="0"/>
        <charset val="1"/>
      </rPr>
      <t xml:space="preserve">2015</t>
    </r>
    <r>
      <rPr>
        <sz val="10"/>
        <rFont val="Noto Sans CJK SC"/>
        <family val="2"/>
      </rPr>
      <t xml:space="preserve">・</t>
    </r>
    <r>
      <rPr>
        <sz val="10"/>
        <rFont val="Arial"/>
        <family val="0"/>
        <charset val="1"/>
      </rPr>
      <t xml:space="preserve">2016</t>
    </r>
    <r>
      <rPr>
        <sz val="10"/>
        <rFont val="Noto Sans CJK SC"/>
        <family val="2"/>
      </rPr>
      <t xml:space="preserve">・</t>
    </r>
    <r>
      <rPr>
        <sz val="10"/>
        <rFont val="Arial"/>
        <family val="0"/>
        <charset val="1"/>
      </rPr>
      <t xml:space="preserve">2025</t>
    </r>
  </si>
  <si>
    <r>
      <rPr>
        <sz val="10"/>
        <rFont val="Noto Sans CJK SC"/>
        <family val="2"/>
      </rPr>
      <t xml:space="preserve">アクターとユースケース記述、</t>
    </r>
    <r>
      <rPr>
        <sz val="10"/>
        <rFont val="Arial"/>
        <family val="0"/>
        <charset val="1"/>
      </rPr>
      <t xml:space="preserve">include</t>
    </r>
    <r>
      <rPr>
        <sz val="10"/>
        <rFont val="Noto Sans CJK SC"/>
        <family val="2"/>
      </rPr>
      <t xml:space="preserve">・</t>
    </r>
    <r>
      <rPr>
        <sz val="10"/>
        <rFont val="Arial"/>
        <family val="0"/>
        <charset val="1"/>
      </rPr>
      <t xml:space="preserve">extend</t>
    </r>
    <r>
      <rPr>
        <sz val="10"/>
        <rFont val="Noto Sans CJK SC"/>
        <family val="2"/>
      </rPr>
      <t xml:space="preserve">、ユースケース駆動開発、分析モデルの境界・制御・実体オブジェクト</t>
    </r>
  </si>
  <si>
    <r>
      <rPr>
        <sz val="10"/>
        <rFont val="Arial"/>
        <family val="0"/>
        <charset val="1"/>
      </rPr>
      <t xml:space="preserve">2015</t>
    </r>
    <r>
      <rPr>
        <sz val="10"/>
        <rFont val="Noto Sans CJK SC"/>
        <family val="2"/>
      </rPr>
      <t xml:space="preserve">・</t>
    </r>
    <r>
      <rPr>
        <sz val="10"/>
        <rFont val="Arial"/>
        <family val="0"/>
        <charset val="1"/>
      </rPr>
      <t xml:space="preserve">2023</t>
    </r>
    <r>
      <rPr>
        <sz val="10"/>
        <rFont val="Noto Sans CJK SC"/>
        <family val="2"/>
      </rPr>
      <t xml:space="preserve">・</t>
    </r>
    <r>
      <rPr>
        <sz val="10"/>
        <rFont val="Arial"/>
        <family val="0"/>
        <charset val="1"/>
      </rPr>
      <t xml:space="preserve">2025</t>
    </r>
  </si>
  <si>
    <r>
      <rPr>
        <sz val="10"/>
        <rFont val="Arial"/>
        <family val="0"/>
        <charset val="1"/>
      </rPr>
      <t xml:space="preserve">CSMA/CD(</t>
    </r>
    <r>
      <rPr>
        <sz val="10"/>
        <rFont val="Noto Sans CJK SC"/>
        <family val="2"/>
      </rPr>
      <t xml:space="preserve">有線・衝突検出</t>
    </r>
    <r>
      <rPr>
        <sz val="10"/>
        <rFont val="Arial"/>
        <family val="0"/>
        <charset val="1"/>
      </rPr>
      <t xml:space="preserve">)</t>
    </r>
    <r>
      <rPr>
        <sz val="10"/>
        <rFont val="Noto Sans CJK SC"/>
        <family val="2"/>
      </rPr>
      <t xml:space="preserve">と</t>
    </r>
    <r>
      <rPr>
        <sz val="10"/>
        <rFont val="Arial"/>
        <family val="0"/>
        <charset val="1"/>
      </rPr>
      <t xml:space="preserve">CSMA/CA(</t>
    </r>
    <r>
      <rPr>
        <sz val="10"/>
        <rFont val="Noto Sans CJK SC"/>
        <family val="2"/>
      </rPr>
      <t xml:space="preserve">無線・衝突回避</t>
    </r>
    <r>
      <rPr>
        <sz val="10"/>
        <rFont val="Arial"/>
        <family val="0"/>
        <charset val="1"/>
      </rPr>
      <t xml:space="preserve">)</t>
    </r>
    <r>
      <rPr>
        <sz val="10"/>
        <rFont val="Noto Sans CJK SC"/>
        <family val="2"/>
      </rPr>
      <t xml:space="preserve">、スイッチングハブ</t>
    </r>
    <r>
      <rPr>
        <sz val="10"/>
        <rFont val="Arial"/>
        <family val="0"/>
        <charset val="1"/>
      </rPr>
      <t xml:space="preserve">(L2</t>
    </r>
    <r>
      <rPr>
        <sz val="10"/>
        <rFont val="Noto Sans CJK SC"/>
        <family val="2"/>
      </rPr>
      <t xml:space="preserve">スイッチ・</t>
    </r>
    <r>
      <rPr>
        <sz val="10"/>
        <rFont val="Arial"/>
        <family val="0"/>
        <charset val="1"/>
      </rPr>
      <t xml:space="preserve">MAC</t>
    </r>
    <r>
      <rPr>
        <sz val="10"/>
        <rFont val="Noto Sans CJK SC"/>
        <family val="2"/>
      </rPr>
      <t xml:space="preserve">アドレステーブル・ストアアンドフォワード</t>
    </r>
    <r>
      <rPr>
        <sz val="10"/>
        <rFont val="Arial"/>
        <family val="0"/>
        <charset val="1"/>
      </rPr>
      <t xml:space="preserve">)</t>
    </r>
    <r>
      <rPr>
        <sz val="10"/>
        <rFont val="Noto Sans CJK SC"/>
        <family val="2"/>
      </rPr>
      <t xml:space="preserve">、</t>
    </r>
    <r>
      <rPr>
        <sz val="10"/>
        <rFont val="Arial"/>
        <family val="0"/>
        <charset val="1"/>
      </rPr>
      <t xml:space="preserve">VLAN</t>
    </r>
  </si>
  <si>
    <r>
      <rPr>
        <sz val="10"/>
        <rFont val="Noto Sans CJK SC"/>
        <family val="2"/>
      </rPr>
      <t xml:space="preserve">リスクアセスメントの手順、年間予想損失額</t>
    </r>
    <r>
      <rPr>
        <sz val="10"/>
        <rFont val="Arial"/>
        <family val="0"/>
        <charset val="1"/>
      </rPr>
      <t xml:space="preserve">(</t>
    </r>
    <r>
      <rPr>
        <sz val="10"/>
        <rFont val="Noto Sans CJK SC"/>
        <family val="2"/>
      </rPr>
      <t xml:space="preserve">発生確率</t>
    </r>
    <r>
      <rPr>
        <sz val="10"/>
        <rFont val="Arial"/>
        <family val="0"/>
        <charset val="1"/>
      </rPr>
      <t xml:space="preserve">×</t>
    </r>
    <r>
      <rPr>
        <sz val="10"/>
        <rFont val="Noto Sans CJK SC"/>
        <family val="2"/>
      </rPr>
      <t xml:space="preserve">損失額</t>
    </r>
    <r>
      <rPr>
        <sz val="10"/>
        <rFont val="Arial"/>
        <family val="0"/>
        <charset val="1"/>
      </rPr>
      <t xml:space="preserve">)</t>
    </r>
    <r>
      <rPr>
        <sz val="10"/>
        <rFont val="Noto Sans CJK SC"/>
        <family val="2"/>
      </rPr>
      <t xml:space="preserve">の計算、リスク対応</t>
    </r>
    <r>
      <rPr>
        <sz val="10"/>
        <rFont val="Arial"/>
        <family val="0"/>
        <charset val="1"/>
      </rPr>
      <t xml:space="preserve">(</t>
    </r>
    <r>
      <rPr>
        <sz val="10"/>
        <rFont val="Noto Sans CJK SC"/>
        <family val="2"/>
      </rPr>
      <t xml:space="preserve">低減・回避・移転・保有</t>
    </r>
    <r>
      <rPr>
        <sz val="10"/>
        <rFont val="Arial"/>
        <family val="0"/>
        <charset val="1"/>
      </rPr>
      <t xml:space="preserve">)</t>
    </r>
    <r>
      <rPr>
        <sz val="10"/>
        <rFont val="Noto Sans CJK SC"/>
        <family val="2"/>
      </rPr>
      <t xml:space="preserve">、</t>
    </r>
    <r>
      <rPr>
        <sz val="10"/>
        <rFont val="Arial"/>
        <family val="0"/>
        <charset val="1"/>
      </rPr>
      <t xml:space="preserve">JIS Q 27014</t>
    </r>
    <r>
      <rPr>
        <sz val="10"/>
        <rFont val="Noto Sans CJK SC"/>
        <family val="2"/>
      </rPr>
      <t xml:space="preserve">の情報セキュリティガバナンス</t>
    </r>
  </si>
  <si>
    <r>
      <rPr>
        <sz val="10"/>
        <rFont val="Arial"/>
        <family val="0"/>
        <charset val="1"/>
      </rPr>
      <t xml:space="preserve">2016</t>
    </r>
    <r>
      <rPr>
        <sz val="10"/>
        <rFont val="Noto Sans CJK SC"/>
        <family val="2"/>
      </rPr>
      <t xml:space="preserve">・</t>
    </r>
    <r>
      <rPr>
        <sz val="10"/>
        <rFont val="Arial"/>
        <family val="0"/>
        <charset val="1"/>
      </rPr>
      <t xml:space="preserve">2022</t>
    </r>
    <r>
      <rPr>
        <sz val="10"/>
        <rFont val="Noto Sans CJK SC"/>
        <family val="2"/>
      </rPr>
      <t xml:space="preserve">・</t>
    </r>
    <r>
      <rPr>
        <sz val="10"/>
        <rFont val="Arial"/>
        <family val="0"/>
        <charset val="1"/>
      </rPr>
      <t xml:space="preserve">2024</t>
    </r>
  </si>
  <si>
    <r>
      <rPr>
        <sz val="10"/>
        <rFont val="Noto Sans CJK SC"/>
        <family val="2"/>
      </rPr>
      <t xml:space="preserve">結合度</t>
    </r>
    <r>
      <rPr>
        <sz val="10"/>
        <rFont val="Arial"/>
        <family val="0"/>
        <charset val="1"/>
      </rPr>
      <t xml:space="preserve">(</t>
    </r>
    <r>
      <rPr>
        <sz val="10"/>
        <rFont val="Noto Sans CJK SC"/>
        <family val="2"/>
      </rPr>
      <t xml:space="preserve">弱→強</t>
    </r>
    <r>
      <rPr>
        <sz val="10"/>
        <rFont val="Arial"/>
        <family val="0"/>
        <charset val="1"/>
      </rPr>
      <t xml:space="preserve">: </t>
    </r>
    <r>
      <rPr>
        <sz val="10"/>
        <rFont val="Noto Sans CJK SC"/>
        <family val="2"/>
      </rPr>
      <t xml:space="preserve">データ・スタンプ・制御・外部・共通・内容</t>
    </r>
    <r>
      <rPr>
        <sz val="10"/>
        <rFont val="Arial"/>
        <family val="0"/>
        <charset val="1"/>
      </rPr>
      <t xml:space="preserve">)</t>
    </r>
    <r>
      <rPr>
        <sz val="10"/>
        <rFont val="Noto Sans CJK SC"/>
        <family val="2"/>
      </rPr>
      <t xml:space="preserve">と凝集度、モジュール分割技法</t>
    </r>
    <r>
      <rPr>
        <sz val="10"/>
        <rFont val="Arial"/>
        <family val="0"/>
        <charset val="1"/>
      </rPr>
      <t xml:space="preserve">(STS</t>
    </r>
    <r>
      <rPr>
        <sz val="10"/>
        <rFont val="Noto Sans CJK SC"/>
        <family val="2"/>
      </rPr>
      <t xml:space="preserve">分割・</t>
    </r>
    <r>
      <rPr>
        <sz val="10"/>
        <rFont val="Arial"/>
        <family val="0"/>
        <charset val="1"/>
      </rPr>
      <t xml:space="preserve">TR</t>
    </r>
    <r>
      <rPr>
        <sz val="10"/>
        <rFont val="Noto Sans CJK SC"/>
        <family val="2"/>
      </rPr>
      <t xml:space="preserve">分割・共通機能分割</t>
    </r>
    <r>
      <rPr>
        <sz val="10"/>
        <rFont val="Arial"/>
        <family val="0"/>
        <charset val="1"/>
      </rPr>
      <t xml:space="preserve">)</t>
    </r>
  </si>
  <si>
    <r>
      <rPr>
        <sz val="10"/>
        <rFont val="Arial"/>
        <family val="0"/>
        <charset val="1"/>
      </rPr>
      <t xml:space="preserve">2018</t>
    </r>
    <r>
      <rPr>
        <sz val="10"/>
        <rFont val="Noto Sans CJK SC"/>
        <family val="2"/>
      </rPr>
      <t xml:space="preserve">・</t>
    </r>
    <r>
      <rPr>
        <sz val="10"/>
        <rFont val="Arial"/>
        <family val="0"/>
        <charset val="1"/>
      </rPr>
      <t xml:space="preserve">2021</t>
    </r>
    <r>
      <rPr>
        <sz val="10"/>
        <rFont val="Noto Sans CJK SC"/>
        <family val="2"/>
      </rPr>
      <t xml:space="preserve">・</t>
    </r>
    <r>
      <rPr>
        <sz val="10"/>
        <rFont val="Arial"/>
        <family val="0"/>
        <charset val="1"/>
      </rPr>
      <t xml:space="preserve">2023</t>
    </r>
  </si>
  <si>
    <r>
      <rPr>
        <sz val="10"/>
        <rFont val="Noto Sans CJK SC"/>
        <family val="2"/>
      </rPr>
      <t xml:space="preserve">主張</t>
    </r>
    <r>
      <rPr>
        <sz val="10"/>
        <rFont val="Arial"/>
        <family val="0"/>
        <charset val="1"/>
      </rPr>
      <t xml:space="preserve">(</t>
    </r>
    <r>
      <rPr>
        <sz val="10"/>
        <rFont val="Noto Sans CJK SC"/>
        <family val="2"/>
      </rPr>
      <t xml:space="preserve">クレーム</t>
    </r>
    <r>
      <rPr>
        <sz val="10"/>
        <rFont val="Arial"/>
        <family val="0"/>
        <charset val="1"/>
      </rPr>
      <t xml:space="preserve">)</t>
    </r>
    <r>
      <rPr>
        <sz val="10"/>
        <rFont val="Noto Sans CJK SC"/>
        <family val="2"/>
      </rPr>
      <t xml:space="preserve">・論拠・証拠</t>
    </r>
    <r>
      <rPr>
        <sz val="10"/>
        <rFont val="Arial"/>
        <family val="0"/>
        <charset val="1"/>
      </rPr>
      <t xml:space="preserve">(</t>
    </r>
    <r>
      <rPr>
        <sz val="10"/>
        <rFont val="Noto Sans CJK SC"/>
        <family val="2"/>
      </rPr>
      <t xml:space="preserve">エビデンス</t>
    </r>
    <r>
      <rPr>
        <sz val="10"/>
        <rFont val="Arial"/>
        <family val="0"/>
        <charset val="1"/>
      </rPr>
      <t xml:space="preserve">)</t>
    </r>
    <r>
      <rPr>
        <sz val="10"/>
        <rFont val="Noto Sans CJK SC"/>
        <family val="2"/>
      </rPr>
      <t xml:space="preserve">で品質や安全性を論証する文書、</t>
    </r>
    <r>
      <rPr>
        <sz val="10"/>
        <rFont val="Arial"/>
        <family val="0"/>
        <charset val="1"/>
      </rPr>
      <t xml:space="preserve">GSN(Goal Structuring Notation)</t>
    </r>
    <r>
      <rPr>
        <sz val="10"/>
        <rFont val="Noto Sans CJK SC"/>
        <family val="2"/>
      </rPr>
      <t xml:space="preserve">。同じ設問が複数回出ている</t>
    </r>
  </si>
  <si>
    <r>
      <rPr>
        <sz val="10"/>
        <rFont val="Arial"/>
        <family val="0"/>
        <charset val="1"/>
      </rPr>
      <t xml:space="preserve">2017</t>
    </r>
    <r>
      <rPr>
        <sz val="10"/>
        <rFont val="Noto Sans CJK SC"/>
        <family val="2"/>
      </rPr>
      <t xml:space="preserve">・</t>
    </r>
    <r>
      <rPr>
        <sz val="10"/>
        <rFont val="Arial"/>
        <family val="0"/>
        <charset val="1"/>
      </rPr>
      <t xml:space="preserve">2019</t>
    </r>
    <r>
      <rPr>
        <sz val="10"/>
        <rFont val="Noto Sans CJK SC"/>
        <family val="2"/>
      </rPr>
      <t xml:space="preserve">・</t>
    </r>
    <r>
      <rPr>
        <sz val="10"/>
        <rFont val="Arial"/>
        <family val="0"/>
        <charset val="1"/>
      </rPr>
      <t xml:space="preserve">2022</t>
    </r>
  </si>
  <si>
    <r>
      <rPr>
        <sz val="10"/>
        <rFont val="Arial"/>
        <family val="0"/>
        <charset val="1"/>
      </rPr>
      <t xml:space="preserve">IP</t>
    </r>
    <r>
      <rPr>
        <sz val="10"/>
        <rFont val="Noto Sans CJK SC"/>
        <family val="2"/>
      </rPr>
      <t xml:space="preserve">電話機・</t>
    </r>
    <r>
      <rPr>
        <sz val="10"/>
        <rFont val="Arial"/>
        <family val="0"/>
        <charset val="1"/>
      </rPr>
      <t xml:space="preserve">PBX</t>
    </r>
    <r>
      <rPr>
        <sz val="10"/>
        <rFont val="Noto Sans CJK SC"/>
        <family val="2"/>
      </rPr>
      <t xml:space="preserve">・ゲートウェイの接続構成、</t>
    </r>
    <r>
      <rPr>
        <sz val="10"/>
        <rFont val="Arial"/>
        <family val="0"/>
        <charset val="1"/>
      </rPr>
      <t xml:space="preserve">SIP</t>
    </r>
    <r>
      <rPr>
        <sz val="10"/>
        <rFont val="Noto Sans CJK SC"/>
        <family val="2"/>
      </rPr>
      <t xml:space="preserve">と</t>
    </r>
    <r>
      <rPr>
        <sz val="10"/>
        <rFont val="Arial"/>
        <family val="0"/>
        <charset val="1"/>
      </rPr>
      <t xml:space="preserve">RTP</t>
    </r>
    <r>
      <rPr>
        <sz val="10"/>
        <rFont val="Noto Sans CJK SC"/>
        <family val="2"/>
      </rPr>
      <t xml:space="preserve">、</t>
    </r>
    <r>
      <rPr>
        <sz val="10"/>
        <rFont val="Arial"/>
        <family val="0"/>
        <charset val="1"/>
      </rPr>
      <t xml:space="preserve">QoS</t>
    </r>
    <r>
      <rPr>
        <sz val="10"/>
        <rFont val="Noto Sans CJK SC"/>
        <family val="2"/>
      </rPr>
      <t xml:space="preserve">と遅延・ジッタ。同じ図の設問が</t>
    </r>
    <r>
      <rPr>
        <sz val="10"/>
        <rFont val="Arial"/>
        <family val="0"/>
        <charset val="1"/>
      </rPr>
      <t xml:space="preserve">3</t>
    </r>
    <r>
      <rPr>
        <sz val="10"/>
        <rFont val="Noto Sans CJK SC"/>
        <family val="2"/>
      </rPr>
      <t xml:space="preserve">回出ている</t>
    </r>
  </si>
  <si>
    <r>
      <rPr>
        <sz val="10"/>
        <rFont val="Arial"/>
        <family val="0"/>
        <charset val="1"/>
      </rPr>
      <t xml:space="preserve">2016</t>
    </r>
    <r>
      <rPr>
        <sz val="10"/>
        <rFont val="Noto Sans CJK SC"/>
        <family val="2"/>
      </rPr>
      <t xml:space="preserve">・</t>
    </r>
    <r>
      <rPr>
        <sz val="10"/>
        <rFont val="Arial"/>
        <family val="0"/>
        <charset val="1"/>
      </rPr>
      <t xml:space="preserve">2019</t>
    </r>
  </si>
  <si>
    <r>
      <rPr>
        <sz val="10"/>
        <rFont val="Noto Sans CJK SC"/>
        <family val="2"/>
      </rPr>
      <t xml:space="preserve">稼働率</t>
    </r>
    <r>
      <rPr>
        <sz val="10"/>
        <rFont val="Arial"/>
        <family val="0"/>
        <charset val="1"/>
      </rPr>
      <t xml:space="preserve">=MTBF÷(MTBF+MTTR)</t>
    </r>
    <r>
      <rPr>
        <sz val="10"/>
        <rFont val="Noto Sans CJK SC"/>
        <family val="2"/>
      </rPr>
      <t xml:space="preserve">、直列と並列の稼働率、</t>
    </r>
    <r>
      <rPr>
        <sz val="10"/>
        <rFont val="Arial"/>
        <family val="0"/>
        <charset val="1"/>
      </rPr>
      <t xml:space="preserve">RAID0/1/5/6/10</t>
    </r>
    <r>
      <rPr>
        <sz val="10"/>
        <rFont val="Noto Sans CJK SC"/>
        <family val="2"/>
      </rPr>
      <t xml:space="preserve">の特徴、バスタブ曲線、累積故障率</t>
    </r>
  </si>
  <si>
    <r>
      <rPr>
        <sz val="10"/>
        <rFont val="Arial"/>
        <family val="0"/>
        <charset val="1"/>
      </rPr>
      <t xml:space="preserve">2017</t>
    </r>
    <r>
      <rPr>
        <sz val="10"/>
        <rFont val="Noto Sans CJK SC"/>
        <family val="2"/>
      </rPr>
      <t xml:space="preserve">・</t>
    </r>
    <r>
      <rPr>
        <sz val="10"/>
        <rFont val="Arial"/>
        <family val="0"/>
        <charset val="1"/>
      </rPr>
      <t xml:space="preserve">2019</t>
    </r>
  </si>
  <si>
    <r>
      <rPr>
        <sz val="10"/>
        <rFont val="Noto Sans CJK SC"/>
        <family val="2"/>
      </rPr>
      <t xml:space="preserve">グラントバック</t>
    </r>
    <r>
      <rPr>
        <sz val="10"/>
        <rFont val="Arial"/>
        <family val="0"/>
        <charset val="1"/>
      </rPr>
      <t xml:space="preserve">(</t>
    </r>
    <r>
      <rPr>
        <sz val="10"/>
        <rFont val="Noto Sans CJK SC"/>
        <family val="2"/>
      </rPr>
      <t xml:space="preserve">改良技術の実施権を権利者へ戻す条件</t>
    </r>
    <r>
      <rPr>
        <sz val="10"/>
        <rFont val="Arial"/>
        <family val="0"/>
        <charset val="1"/>
      </rPr>
      <t xml:space="preserve">)</t>
    </r>
    <r>
      <rPr>
        <sz val="10"/>
        <rFont val="Noto Sans CJK SC"/>
        <family val="2"/>
      </rPr>
      <t xml:space="preserve">、ランニングロイヤリティ</t>
    </r>
    <r>
      <rPr>
        <sz val="10"/>
        <rFont val="Arial"/>
        <family val="0"/>
        <charset val="1"/>
      </rPr>
      <t xml:space="preserve">(</t>
    </r>
    <r>
      <rPr>
        <sz val="10"/>
        <rFont val="Noto Sans CJK SC"/>
        <family val="2"/>
      </rPr>
      <t xml:space="preserve">継続支払</t>
    </r>
    <r>
      <rPr>
        <sz val="10"/>
        <rFont val="Arial"/>
        <family val="0"/>
        <charset val="1"/>
      </rPr>
      <t xml:space="preserve">)</t>
    </r>
    <r>
      <rPr>
        <sz val="10"/>
        <rFont val="Noto Sans CJK SC"/>
        <family val="2"/>
      </rPr>
      <t xml:space="preserve">、一時金、クロスライセンス、独占・非独占実施権</t>
    </r>
  </si>
  <si>
    <r>
      <rPr>
        <sz val="10"/>
        <rFont val="Arial"/>
        <family val="0"/>
        <charset val="1"/>
      </rPr>
      <t xml:space="preserve">2015</t>
    </r>
    <r>
      <rPr>
        <sz val="10"/>
        <rFont val="Noto Sans CJK SC"/>
        <family val="2"/>
      </rPr>
      <t xml:space="preserve">・</t>
    </r>
    <r>
      <rPr>
        <sz val="10"/>
        <rFont val="Arial"/>
        <family val="0"/>
        <charset val="1"/>
      </rPr>
      <t xml:space="preserve">2017</t>
    </r>
    <r>
      <rPr>
        <sz val="10"/>
        <rFont val="Noto Sans CJK SC"/>
        <family val="2"/>
      </rPr>
      <t xml:space="preserve">・</t>
    </r>
    <r>
      <rPr>
        <sz val="10"/>
        <rFont val="Arial"/>
        <family val="0"/>
        <charset val="1"/>
      </rPr>
      <t xml:space="preserve">2018</t>
    </r>
  </si>
  <si>
    <r>
      <rPr>
        <sz val="10"/>
        <rFont val="Noto Sans CJK SC"/>
        <family val="2"/>
      </rPr>
      <t xml:space="preserve">アムダールの法則</t>
    </r>
    <r>
      <rPr>
        <sz val="10"/>
        <rFont val="Arial"/>
        <family val="0"/>
        <charset val="1"/>
      </rPr>
      <t xml:space="preserve">(</t>
    </r>
    <r>
      <rPr>
        <sz val="10"/>
        <rFont val="Noto Sans CJK SC"/>
        <family val="2"/>
      </rPr>
      <t xml:space="preserve">並列化可能割合と台数による性能向上比</t>
    </r>
    <r>
      <rPr>
        <sz val="10"/>
        <rFont val="Arial"/>
        <family val="0"/>
        <charset val="1"/>
      </rPr>
      <t xml:space="preserve">)</t>
    </r>
    <r>
      <rPr>
        <sz val="10"/>
        <rFont val="Noto Sans CJK SC"/>
        <family val="2"/>
      </rPr>
      <t xml:space="preserve">、密結合と疎結合、</t>
    </r>
    <r>
      <rPr>
        <sz val="10"/>
        <rFont val="Arial"/>
        <family val="0"/>
        <charset val="1"/>
      </rPr>
      <t xml:space="preserve">SMP</t>
    </r>
  </si>
  <si>
    <r>
      <rPr>
        <sz val="10"/>
        <rFont val="Arial"/>
        <family val="0"/>
        <charset val="1"/>
      </rPr>
      <t xml:space="preserve">2015</t>
    </r>
    <r>
      <rPr>
        <sz val="10"/>
        <rFont val="Noto Sans CJK SC"/>
        <family val="2"/>
      </rPr>
      <t xml:space="preserve">・</t>
    </r>
    <r>
      <rPr>
        <sz val="10"/>
        <rFont val="Arial"/>
        <family val="0"/>
        <charset val="1"/>
      </rPr>
      <t xml:space="preserve">2025</t>
    </r>
  </si>
  <si>
    <r>
      <rPr>
        <sz val="10"/>
        <rFont val="Noto Sans CJK SC"/>
        <family val="2"/>
      </rPr>
      <t xml:space="preserve">単一責任・開放閉鎖・リスコフの置換・インタフェース分離・依存関係逆転の</t>
    </r>
    <r>
      <rPr>
        <sz val="10"/>
        <rFont val="Arial"/>
        <family val="0"/>
        <charset val="1"/>
      </rPr>
      <t xml:space="preserve">5</t>
    </r>
    <r>
      <rPr>
        <sz val="10"/>
        <rFont val="Noto Sans CJK SC"/>
        <family val="2"/>
      </rPr>
      <t xml:space="preserve">原則</t>
    </r>
  </si>
  <si>
    <r>
      <rPr>
        <sz val="10"/>
        <rFont val="Noto Sans CJK SC"/>
        <family val="2"/>
      </rPr>
      <t xml:space="preserve">教育評価の</t>
    </r>
    <r>
      <rPr>
        <sz val="10"/>
        <rFont val="Arial"/>
        <family val="0"/>
        <charset val="1"/>
      </rPr>
      <t xml:space="preserve">4</t>
    </r>
    <r>
      <rPr>
        <sz val="10"/>
        <rFont val="Noto Sans CJK SC"/>
        <family val="2"/>
      </rPr>
      <t xml:space="preserve">レベル</t>
    </r>
    <r>
      <rPr>
        <sz val="10"/>
        <rFont val="Arial"/>
        <family val="0"/>
        <charset val="1"/>
      </rPr>
      <t xml:space="preserve">(</t>
    </r>
    <r>
      <rPr>
        <sz val="10"/>
        <rFont val="Noto Sans CJK SC"/>
        <family val="2"/>
      </rPr>
      <t xml:space="preserve">反応・学習・行動・成果</t>
    </r>
    <r>
      <rPr>
        <sz val="10"/>
        <rFont val="Arial"/>
        <family val="0"/>
        <charset val="1"/>
      </rPr>
      <t xml:space="preserve">)</t>
    </r>
  </si>
  <si>
    <r>
      <rPr>
        <sz val="10"/>
        <rFont val="Arial"/>
        <family val="0"/>
        <charset val="1"/>
      </rPr>
      <t xml:space="preserve">2022</t>
    </r>
    <r>
      <rPr>
        <sz val="10"/>
        <rFont val="Noto Sans CJK SC"/>
        <family val="2"/>
      </rPr>
      <t xml:space="preserve">・</t>
    </r>
    <r>
      <rPr>
        <sz val="10"/>
        <rFont val="Arial"/>
        <family val="0"/>
        <charset val="1"/>
      </rPr>
      <t xml:space="preserve">2025</t>
    </r>
  </si>
  <si>
    <r>
      <rPr>
        <sz val="10"/>
        <rFont val="Noto Sans CJK SC"/>
        <family val="2"/>
      </rPr>
      <t xml:space="preserve">オープンリゾルバを悪用した</t>
    </r>
    <r>
      <rPr>
        <sz val="10"/>
        <rFont val="Arial"/>
        <family val="0"/>
        <charset val="1"/>
      </rPr>
      <t xml:space="preserve">DNS</t>
    </r>
    <r>
      <rPr>
        <sz val="10"/>
        <rFont val="Noto Sans CJK SC"/>
        <family val="2"/>
      </rPr>
      <t xml:space="preserve">増幅</t>
    </r>
    <r>
      <rPr>
        <sz val="10"/>
        <rFont val="Arial"/>
        <family val="0"/>
        <charset val="1"/>
      </rPr>
      <t xml:space="preserve">(</t>
    </r>
    <r>
      <rPr>
        <sz val="10"/>
        <rFont val="Noto Sans CJK SC"/>
        <family val="2"/>
      </rPr>
      <t xml:space="preserve">リフレクション</t>
    </r>
    <r>
      <rPr>
        <sz val="10"/>
        <rFont val="Arial"/>
        <family val="0"/>
        <charset val="1"/>
      </rPr>
      <t xml:space="preserve">)</t>
    </r>
    <r>
      <rPr>
        <sz val="10"/>
        <rFont val="Noto Sans CJK SC"/>
        <family val="2"/>
      </rPr>
      <t xml:space="preserve">攻撃、マルチベクトル型</t>
    </r>
    <r>
      <rPr>
        <sz val="10"/>
        <rFont val="Arial"/>
        <family val="0"/>
        <charset val="1"/>
      </rPr>
      <t xml:space="preserve">DDoS</t>
    </r>
    <r>
      <rPr>
        <sz val="10"/>
        <rFont val="Noto Sans CJK SC"/>
        <family val="2"/>
      </rPr>
      <t xml:space="preserve">の特徴と対策</t>
    </r>
  </si>
  <si>
    <t xml:space="preserve">ダイレクト・フルアソシアティブ・セットアソシアティブ、ヒット率と実効アクセス時間の計算、ライトスルーとライトバック</t>
  </si>
  <si>
    <r>
      <rPr>
        <sz val="10"/>
        <rFont val="Arial"/>
        <family val="0"/>
        <charset val="1"/>
      </rPr>
      <t xml:space="preserve">2023</t>
    </r>
    <r>
      <rPr>
        <sz val="10"/>
        <rFont val="Noto Sans CJK SC"/>
        <family val="2"/>
      </rPr>
      <t xml:space="preserve">・</t>
    </r>
    <r>
      <rPr>
        <sz val="10"/>
        <rFont val="Arial"/>
        <family val="0"/>
        <charset val="1"/>
      </rPr>
      <t xml:space="preserve">2025</t>
    </r>
  </si>
  <si>
    <r>
      <rPr>
        <sz val="10"/>
        <rFont val="Noto Sans CJK SC"/>
        <family val="2"/>
      </rPr>
      <t xml:space="preserve">コンテナ型仮想化とオーケストレーション</t>
    </r>
    <r>
      <rPr>
        <sz val="10"/>
        <rFont val="Arial"/>
        <family val="0"/>
        <charset val="1"/>
      </rPr>
      <t xml:space="preserve">(Kubernetes)</t>
    </r>
    <r>
      <rPr>
        <sz val="10"/>
        <rFont val="Noto Sans CJK SC"/>
        <family val="2"/>
      </rPr>
      <t xml:space="preserve">、</t>
    </r>
    <r>
      <rPr>
        <sz val="10"/>
        <rFont val="Arial"/>
        <family val="0"/>
        <charset val="1"/>
      </rPr>
      <t xml:space="preserve">IaaS</t>
    </r>
    <r>
      <rPr>
        <sz val="10"/>
        <rFont val="Noto Sans CJK SC"/>
        <family val="2"/>
      </rPr>
      <t xml:space="preserve">・</t>
    </r>
    <r>
      <rPr>
        <sz val="10"/>
        <rFont val="Arial"/>
        <family val="0"/>
        <charset val="1"/>
      </rPr>
      <t xml:space="preserve">PaaS</t>
    </r>
    <r>
      <rPr>
        <sz val="10"/>
        <rFont val="Noto Sans CJK SC"/>
        <family val="2"/>
      </rPr>
      <t xml:space="preserve">・</t>
    </r>
    <r>
      <rPr>
        <sz val="10"/>
        <rFont val="Arial"/>
        <family val="0"/>
        <charset val="1"/>
      </rPr>
      <t xml:space="preserve">SaaS</t>
    </r>
    <r>
      <rPr>
        <sz val="10"/>
        <rFont val="Noto Sans CJK SC"/>
        <family val="2"/>
      </rPr>
      <t xml:space="preserve">、クラウドサービス派生データ</t>
    </r>
  </si>
  <si>
    <r>
      <rPr>
        <sz val="10"/>
        <rFont val="Arial"/>
        <family val="0"/>
        <charset val="1"/>
      </rPr>
      <t xml:space="preserve">2018</t>
    </r>
    <r>
      <rPr>
        <sz val="10"/>
        <rFont val="Noto Sans CJK SC"/>
        <family val="2"/>
      </rPr>
      <t xml:space="preserve">・</t>
    </r>
    <r>
      <rPr>
        <sz val="10"/>
        <rFont val="Arial"/>
        <family val="0"/>
        <charset val="1"/>
      </rPr>
      <t xml:space="preserve">2024</t>
    </r>
  </si>
  <si>
    <r>
      <rPr>
        <sz val="10"/>
        <rFont val="Arial"/>
        <family val="0"/>
        <charset val="1"/>
      </rPr>
      <t xml:space="preserve">2019</t>
    </r>
    <r>
      <rPr>
        <sz val="10"/>
        <rFont val="Noto Sans CJK SC"/>
        <family val="2"/>
      </rPr>
      <t xml:space="preserve">・</t>
    </r>
    <r>
      <rPr>
        <sz val="10"/>
        <rFont val="Arial"/>
        <family val="0"/>
        <charset val="1"/>
      </rPr>
      <t xml:space="preserve">2024</t>
    </r>
  </si>
  <si>
    <r>
      <rPr>
        <sz val="10"/>
        <rFont val="Noto Sans CJK SC"/>
        <family val="2"/>
      </rPr>
      <t xml:space="preserve">小さなサービスを</t>
    </r>
    <r>
      <rPr>
        <sz val="10"/>
        <rFont val="Arial"/>
        <family val="0"/>
        <charset val="1"/>
      </rPr>
      <t xml:space="preserve">API</t>
    </r>
    <r>
      <rPr>
        <sz val="10"/>
        <rFont val="Noto Sans CJK SC"/>
        <family val="2"/>
      </rPr>
      <t xml:space="preserve">で連携、独立したデプロイ、障害の局所化、サーキットブレーカ、</t>
    </r>
    <r>
      <rPr>
        <sz val="10"/>
        <rFont val="Arial"/>
        <family val="0"/>
        <charset val="1"/>
      </rPr>
      <t xml:space="preserve">API</t>
    </r>
    <r>
      <rPr>
        <sz val="10"/>
        <rFont val="Noto Sans CJK SC"/>
        <family val="2"/>
      </rPr>
      <t xml:space="preserve">ゲートウェイ</t>
    </r>
  </si>
  <si>
    <r>
      <rPr>
        <sz val="10"/>
        <rFont val="Arial"/>
        <family val="0"/>
        <charset val="1"/>
      </rPr>
      <t xml:space="preserve">2022</t>
    </r>
    <r>
      <rPr>
        <sz val="10"/>
        <rFont val="Noto Sans CJK SC"/>
        <family val="2"/>
      </rPr>
      <t xml:space="preserve">・</t>
    </r>
    <r>
      <rPr>
        <sz val="10"/>
        <rFont val="Arial"/>
        <family val="0"/>
        <charset val="1"/>
      </rPr>
      <t xml:space="preserve">2024</t>
    </r>
  </si>
  <si>
    <r>
      <rPr>
        <sz val="10"/>
        <rFont val="Arial"/>
        <family val="0"/>
        <charset val="1"/>
      </rPr>
      <t xml:space="preserve">2016</t>
    </r>
    <r>
      <rPr>
        <sz val="10"/>
        <rFont val="Noto Sans CJK SC"/>
        <family val="2"/>
      </rPr>
      <t xml:space="preserve">・</t>
    </r>
    <r>
      <rPr>
        <sz val="10"/>
        <rFont val="Arial"/>
        <family val="0"/>
        <charset val="1"/>
      </rPr>
      <t xml:space="preserve">2023</t>
    </r>
  </si>
  <si>
    <r>
      <rPr>
        <sz val="10"/>
        <rFont val="Arial"/>
        <family val="0"/>
        <charset val="1"/>
      </rPr>
      <t xml:space="preserve">2017</t>
    </r>
    <r>
      <rPr>
        <sz val="10"/>
        <rFont val="Noto Sans CJK SC"/>
        <family val="2"/>
      </rPr>
      <t xml:space="preserve">・</t>
    </r>
    <r>
      <rPr>
        <sz val="10"/>
        <rFont val="Arial"/>
        <family val="0"/>
        <charset val="1"/>
      </rPr>
      <t xml:space="preserve">2023</t>
    </r>
  </si>
  <si>
    <r>
      <rPr>
        <sz val="10"/>
        <rFont val="Arial"/>
        <family val="0"/>
        <charset val="1"/>
      </rPr>
      <t xml:space="preserve">2019</t>
    </r>
    <r>
      <rPr>
        <sz val="10"/>
        <rFont val="Noto Sans CJK SC"/>
        <family val="2"/>
      </rPr>
      <t xml:space="preserve">・</t>
    </r>
    <r>
      <rPr>
        <sz val="10"/>
        <rFont val="Arial"/>
        <family val="0"/>
        <charset val="1"/>
      </rPr>
      <t xml:space="preserve">2023</t>
    </r>
  </si>
  <si>
    <r>
      <rPr>
        <sz val="10"/>
        <rFont val="Arial"/>
        <family val="0"/>
        <charset val="1"/>
      </rPr>
      <t xml:space="preserve">2017</t>
    </r>
    <r>
      <rPr>
        <sz val="10"/>
        <rFont val="Noto Sans CJK SC"/>
        <family val="2"/>
      </rPr>
      <t xml:space="preserve">・</t>
    </r>
    <r>
      <rPr>
        <sz val="10"/>
        <rFont val="Arial"/>
        <family val="0"/>
        <charset val="1"/>
      </rPr>
      <t xml:space="preserve">2022</t>
    </r>
  </si>
  <si>
    <t xml:space="preserve">テスト設計と実行を同時に進め、結果から次のテストを決める手法</t>
  </si>
  <si>
    <t xml:space="preserve">故障モード影響解析。設計段階で故障モードと影響を洗い出す予防的手法</t>
  </si>
  <si>
    <r>
      <rPr>
        <sz val="10"/>
        <rFont val="Arial"/>
        <family val="0"/>
        <charset val="1"/>
      </rPr>
      <t xml:space="preserve">2017</t>
    </r>
    <r>
      <rPr>
        <sz val="10"/>
        <rFont val="Noto Sans CJK SC"/>
        <family val="2"/>
      </rPr>
      <t xml:space="preserve">・</t>
    </r>
    <r>
      <rPr>
        <sz val="10"/>
        <rFont val="Arial"/>
        <family val="0"/>
        <charset val="1"/>
      </rPr>
      <t xml:space="preserve">2021</t>
    </r>
  </si>
  <si>
    <r>
      <rPr>
        <sz val="10"/>
        <rFont val="Arial"/>
        <family val="0"/>
        <charset val="1"/>
      </rPr>
      <t xml:space="preserve">2015</t>
    </r>
    <r>
      <rPr>
        <sz val="10"/>
        <rFont val="Noto Sans CJK SC"/>
        <family val="2"/>
      </rPr>
      <t xml:space="preserve">・</t>
    </r>
    <r>
      <rPr>
        <sz val="10"/>
        <rFont val="Arial"/>
        <family val="0"/>
        <charset val="1"/>
      </rPr>
      <t xml:space="preserve">2019</t>
    </r>
  </si>
  <si>
    <r>
      <rPr>
        <sz val="10"/>
        <rFont val="Arial"/>
        <family val="0"/>
        <charset val="1"/>
      </rPr>
      <t xml:space="preserve">2018</t>
    </r>
    <r>
      <rPr>
        <sz val="10"/>
        <rFont val="Noto Sans CJK SC"/>
        <family val="2"/>
      </rPr>
      <t xml:space="preserve">・</t>
    </r>
    <r>
      <rPr>
        <sz val="10"/>
        <rFont val="Arial"/>
        <family val="0"/>
        <charset val="1"/>
      </rPr>
      <t xml:space="preserve">2019</t>
    </r>
  </si>
  <si>
    <r>
      <rPr>
        <sz val="10"/>
        <rFont val="Arial"/>
        <family val="0"/>
        <charset val="1"/>
      </rPr>
      <t xml:space="preserve">2015</t>
    </r>
    <r>
      <rPr>
        <sz val="10"/>
        <rFont val="Noto Sans CJK SC"/>
        <family val="2"/>
      </rPr>
      <t xml:space="preserve">・</t>
    </r>
    <r>
      <rPr>
        <sz val="10"/>
        <rFont val="Arial"/>
        <family val="0"/>
        <charset val="1"/>
      </rPr>
      <t xml:space="preserve">2018</t>
    </r>
  </si>
  <si>
    <r>
      <rPr>
        <sz val="10"/>
        <rFont val="Arial"/>
        <family val="0"/>
        <charset val="1"/>
      </rPr>
      <t xml:space="preserve">2015</t>
    </r>
    <r>
      <rPr>
        <sz val="10"/>
        <rFont val="Noto Sans CJK SC"/>
        <family val="2"/>
      </rPr>
      <t xml:space="preserve">・</t>
    </r>
    <r>
      <rPr>
        <sz val="10"/>
        <rFont val="Arial"/>
        <family val="0"/>
        <charset val="1"/>
      </rPr>
      <t xml:space="preserve">2017</t>
    </r>
  </si>
  <si>
    <r>
      <rPr>
        <sz val="10"/>
        <rFont val="Arial"/>
        <family val="0"/>
        <charset val="1"/>
      </rPr>
      <t xml:space="preserve">2016</t>
    </r>
    <r>
      <rPr>
        <sz val="10"/>
        <rFont val="Noto Sans CJK SC"/>
        <family val="2"/>
      </rPr>
      <t xml:space="preserve">・</t>
    </r>
    <r>
      <rPr>
        <sz val="10"/>
        <rFont val="Arial"/>
        <family val="0"/>
        <charset val="1"/>
      </rPr>
      <t xml:space="preserve">2017</t>
    </r>
  </si>
  <si>
    <r>
      <rPr>
        <sz val="10"/>
        <rFont val="Noto Sans CJK SC"/>
        <family val="2"/>
      </rPr>
      <t xml:space="preserve">シングルサインオンの仕組み</t>
    </r>
    <r>
      <rPr>
        <sz val="10"/>
        <rFont val="Arial"/>
        <family val="0"/>
        <charset val="1"/>
      </rPr>
      <t xml:space="preserve">(IdP</t>
    </r>
    <r>
      <rPr>
        <sz val="10"/>
        <rFont val="Noto Sans CJK SC"/>
        <family val="2"/>
      </rPr>
      <t xml:space="preserve">・</t>
    </r>
    <r>
      <rPr>
        <sz val="10"/>
        <rFont val="Arial"/>
        <family val="0"/>
        <charset val="1"/>
      </rPr>
      <t xml:space="preserve">SAML</t>
    </r>
    <r>
      <rPr>
        <sz val="10"/>
        <rFont val="Noto Sans CJK SC"/>
        <family val="2"/>
      </rPr>
      <t xml:space="preserve">・</t>
    </r>
    <r>
      <rPr>
        <sz val="10"/>
        <rFont val="Arial"/>
        <family val="0"/>
        <charset val="1"/>
      </rPr>
      <t xml:space="preserve">OpenID Connect</t>
    </r>
    <r>
      <rPr>
        <sz val="10"/>
        <rFont val="Noto Sans CJK SC"/>
        <family val="2"/>
      </rPr>
      <t xml:space="preserve">・</t>
    </r>
    <r>
      <rPr>
        <sz val="10"/>
        <rFont val="Arial"/>
        <family val="0"/>
        <charset val="1"/>
      </rPr>
      <t xml:space="preserve">OAuth 2.0)</t>
    </r>
    <r>
      <rPr>
        <sz val="10"/>
        <rFont val="Noto Sans CJK SC"/>
        <family val="2"/>
      </rPr>
      <t xml:space="preserve">と代表的</t>
    </r>
    <r>
      <rPr>
        <sz val="10"/>
        <rFont val="Arial"/>
        <family val="0"/>
        <charset val="1"/>
      </rPr>
      <t xml:space="preserve">OSS</t>
    </r>
  </si>
  <si>
    <t xml:space="preserve">通信の暗号化と公開鍵認証でリモートログインするプロトコル、ポートフォワーディング</t>
  </si>
  <si>
    <t xml:space="preserve">回ごとの再出題の内訳</t>
  </si>
  <si>
    <r>
      <rPr>
        <sz val="9"/>
        <color rgb="FF595959"/>
        <rFont val="Noto Sans CJK SC"/>
        <family val="2"/>
      </rPr>
      <t xml:space="preserve">類似度判定の結果</t>
    </r>
    <r>
      <rPr>
        <sz val="9"/>
        <color rgb="FF595959"/>
        <rFont val="Arial"/>
        <family val="0"/>
        <charset val="1"/>
      </rPr>
      <t xml:space="preserve">(</t>
    </r>
    <r>
      <rPr>
        <sz val="9"/>
        <color rgb="FF595959"/>
        <rFont val="Noto Sans CJK SC"/>
        <family val="2"/>
      </rPr>
      <t xml:space="preserve">固定値</t>
    </r>
    <r>
      <rPr>
        <sz val="9"/>
        <color rgb="FF595959"/>
        <rFont val="Arial"/>
        <family val="0"/>
        <charset val="1"/>
      </rPr>
      <t xml:space="preserve">)</t>
    </r>
    <r>
      <rPr>
        <sz val="9"/>
        <color rgb="FF595959"/>
        <rFont val="Noto Sans CJK SC"/>
        <family val="2"/>
      </rPr>
      <t xml:space="preserve">。最初の数回は比べる過去問が少ないため、過去に同一問題ありが小さく出ます。</t>
    </r>
  </si>
  <si>
    <t xml:space="preserve">過去に同一問題あり</t>
  </si>
  <si>
    <r>
      <rPr>
        <b val="true"/>
        <sz val="10"/>
        <color rgb="FFFFFFFF"/>
        <rFont val="Noto Sans CJK SC"/>
        <family val="2"/>
      </rPr>
      <t xml:space="preserve">初出</t>
    </r>
    <r>
      <rPr>
        <b val="true"/>
        <sz val="10"/>
        <color rgb="FFFFFFFF"/>
        <rFont val="Arial"/>
        <family val="0"/>
        <charset val="1"/>
      </rPr>
      <t xml:space="preserve">(</t>
    </r>
    <r>
      <rPr>
        <b val="true"/>
        <sz val="10"/>
        <color rgb="FFFFFFFF"/>
        <rFont val="Noto Sans CJK SC"/>
        <family val="2"/>
      </rPr>
      <t xml:space="preserve">後年に再出題</t>
    </r>
    <r>
      <rPr>
        <b val="true"/>
        <sz val="10"/>
        <color rgb="FFFFFFFF"/>
        <rFont val="Arial"/>
        <family val="0"/>
        <charset val="1"/>
      </rPr>
      <t xml:space="preserve">)</t>
    </r>
  </si>
  <si>
    <t xml:space="preserve">同テーマの別設問のみ</t>
  </si>
  <si>
    <t xml:space="preserve">単発</t>
  </si>
  <si>
    <t xml:space="preserve">同一問題は何回後に再出題されたか</t>
  </si>
  <si>
    <r>
      <rPr>
        <sz val="9"/>
        <color rgb="FF595959"/>
        <rFont val="Noto Sans CJK SC"/>
        <family val="2"/>
      </rPr>
      <t xml:space="preserve">実施された回の数で数えています</t>
    </r>
    <r>
      <rPr>
        <sz val="9"/>
        <color rgb="FF595959"/>
        <rFont val="Arial"/>
        <family val="0"/>
        <charset val="1"/>
      </rPr>
      <t xml:space="preserve">(</t>
    </r>
    <r>
      <rPr>
        <sz val="9"/>
        <color rgb="FF595959"/>
        <rFont val="Noto Sans CJK SC"/>
        <family val="2"/>
      </rPr>
      <t xml:space="preserve">試験がない年は飛ばす</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0</t>
    </r>
    <r>
      <rPr>
        <sz val="9"/>
        <color rgb="FF595959"/>
        <rFont val="Noto Sans CJK SC"/>
        <family val="2"/>
      </rPr>
      <t xml:space="preserve">は翌回に再出題された例がないことを表します。</t>
    </r>
  </si>
  <si>
    <r>
      <rPr>
        <b val="true"/>
        <sz val="10"/>
        <color rgb="FFFFFFFF"/>
        <rFont val="Noto Sans CJK SC"/>
        <family val="2"/>
      </rPr>
      <t xml:space="preserve">間隔</t>
    </r>
    <r>
      <rPr>
        <b val="true"/>
        <sz val="10"/>
        <color rgb="FFFFFFFF"/>
        <rFont val="Arial"/>
        <family val="0"/>
        <charset val="1"/>
      </rPr>
      <t xml:space="preserve">(</t>
    </r>
    <r>
      <rPr>
        <b val="true"/>
        <sz val="10"/>
        <color rgb="FFFFFFFF"/>
        <rFont val="Noto Sans CJK SC"/>
        <family val="2"/>
      </rPr>
      <t xml:space="preserve">回後</t>
    </r>
    <r>
      <rPr>
        <b val="true"/>
        <sz val="10"/>
        <color rgb="FFFFFFFF"/>
        <rFont val="Arial"/>
        <family val="0"/>
        <charset val="1"/>
      </rPr>
      <t xml:space="preserve">)</t>
    </r>
  </si>
  <si>
    <t xml:space="preserve">組数</t>
  </si>
  <si>
    <r>
      <rPr>
        <b val="true"/>
        <sz val="14"/>
        <rFont val="Arial"/>
        <family val="0"/>
        <charset val="1"/>
      </rPr>
      <t xml:space="preserve">2</t>
    </r>
    <r>
      <rPr>
        <b val="true"/>
        <sz val="14"/>
        <rFont val="Noto Sans CJK SC"/>
        <family val="2"/>
      </rPr>
      <t xml:space="preserve">つの回の組ごとの同一問題の数</t>
    </r>
  </si>
  <si>
    <r>
      <rPr>
        <sz val="9"/>
        <color rgb="FF595959"/>
        <rFont val="Noto Sans CJK SC"/>
        <family val="2"/>
      </rPr>
      <t xml:space="preserve">行の回の問題のうち、列の回にも同一問題がある数。連続する</t>
    </r>
    <r>
      <rPr>
        <sz val="9"/>
        <color rgb="FF595959"/>
        <rFont val="Arial"/>
        <family val="0"/>
        <charset val="1"/>
      </rPr>
      <t xml:space="preserve">2</t>
    </r>
    <r>
      <rPr>
        <sz val="9"/>
        <color rgb="FF595959"/>
        <rFont val="Noto Sans CJK SC"/>
        <family val="2"/>
      </rPr>
      <t xml:space="preserve">回</t>
    </r>
    <r>
      <rPr>
        <sz val="9"/>
        <color rgb="FF595959"/>
        <rFont val="Arial"/>
        <family val="0"/>
        <charset val="1"/>
      </rPr>
      <t xml:space="preserve">(</t>
    </r>
    <r>
      <rPr>
        <sz val="9"/>
        <color rgb="FF595959"/>
        <rFont val="Noto Sans CJK SC"/>
        <family val="2"/>
      </rPr>
      <t xml:space="preserve">斜め隣</t>
    </r>
    <r>
      <rPr>
        <sz val="9"/>
        <color rgb="FF595959"/>
        <rFont val="Arial"/>
        <family val="0"/>
        <charset val="1"/>
      </rPr>
      <t xml:space="preserve">)</t>
    </r>
    <r>
      <rPr>
        <sz val="9"/>
        <color rgb="FF595959"/>
        <rFont val="Noto Sans CJK SC"/>
        <family val="2"/>
      </rPr>
      <t xml:space="preserve">はすべて</t>
    </r>
    <r>
      <rPr>
        <sz val="9"/>
        <color rgb="FF595959"/>
        <rFont val="Arial"/>
        <family val="0"/>
        <charset val="1"/>
      </rPr>
      <t xml:space="preserve">0</t>
    </r>
    <r>
      <rPr>
        <sz val="9"/>
        <color rgb="FF595959"/>
        <rFont val="Noto Sans CJK SC"/>
        <family val="2"/>
      </rPr>
      <t xml:space="preserve">です。</t>
    </r>
  </si>
  <si>
    <r>
      <rPr>
        <b val="true"/>
        <sz val="14"/>
        <rFont val="Noto Sans CJK SC"/>
        <family val="2"/>
      </rPr>
      <t xml:space="preserve">直前</t>
    </r>
    <r>
      <rPr>
        <b val="true"/>
        <sz val="14"/>
        <rFont val="Arial"/>
        <family val="0"/>
        <charset val="1"/>
      </rPr>
      <t xml:space="preserve">N</t>
    </r>
    <r>
      <rPr>
        <b val="true"/>
        <sz val="14"/>
        <rFont val="Noto Sans CJK SC"/>
        <family val="2"/>
      </rPr>
      <t xml:space="preserve">回分の過去問でカバーできる平均問数</t>
    </r>
  </si>
  <si>
    <r>
      <rPr>
        <sz val="9"/>
        <color rgb="FF595959"/>
        <rFont val="Arial"/>
        <family val="0"/>
        <charset val="1"/>
      </rPr>
      <t xml:space="preserve">2021</t>
    </r>
    <r>
      <rPr>
        <sz val="9"/>
        <color rgb="FF595959"/>
        <rFont val="Noto Sans CJK SC"/>
        <family val="2"/>
      </rPr>
      <t xml:space="preserve">〜</t>
    </r>
    <r>
      <rPr>
        <sz val="9"/>
        <color rgb="FF595959"/>
        <rFont val="Arial"/>
        <family val="0"/>
        <charset val="1"/>
      </rPr>
      <t xml:space="preserve">2025</t>
    </r>
    <r>
      <rPr>
        <sz val="9"/>
        <color rgb="FF595959"/>
        <rFont val="Noto Sans CJK SC"/>
        <family val="2"/>
      </rPr>
      <t xml:space="preserve">の各回について、直前</t>
    </r>
    <r>
      <rPr>
        <sz val="9"/>
        <color rgb="FF595959"/>
        <rFont val="Arial"/>
        <family val="0"/>
        <charset val="1"/>
      </rPr>
      <t xml:space="preserve">N</t>
    </r>
    <r>
      <rPr>
        <sz val="9"/>
        <color rgb="FF595959"/>
        <rFont val="Noto Sans CJK SC"/>
        <family val="2"/>
      </rPr>
      <t xml:space="preserve">回分に載っていた問題数の平均</t>
    </r>
    <r>
      <rPr>
        <sz val="9"/>
        <color rgb="FF595959"/>
        <rFont val="Arial"/>
        <family val="0"/>
        <charset val="1"/>
      </rPr>
      <t xml:space="preserve">(</t>
    </r>
    <r>
      <rPr>
        <sz val="9"/>
        <color rgb="FF595959"/>
        <rFont val="Noto Sans CJK SC"/>
        <family val="2"/>
      </rPr>
      <t xml:space="preserve">固定値</t>
    </r>
    <r>
      <rPr>
        <sz val="9"/>
        <color rgb="FF595959"/>
        <rFont val="Arial"/>
        <family val="0"/>
        <charset val="1"/>
      </rPr>
      <t xml:space="preserve">)</t>
    </r>
    <r>
      <rPr>
        <sz val="9"/>
        <color rgb="FF595959"/>
        <rFont val="Noto Sans CJK SC"/>
        <family val="2"/>
      </rPr>
      <t xml:space="preserve">。同テーマは同じ用語分類の問題を含みます。</t>
    </r>
  </si>
  <si>
    <t xml:space="preserve">直前の回数</t>
  </si>
  <si>
    <t xml:space="preserve">同一問題</t>
  </si>
  <si>
    <r>
      <rPr>
        <b val="true"/>
        <sz val="10"/>
        <color rgb="FFFFFFFF"/>
        <rFont val="Noto Sans CJK SC"/>
        <family val="2"/>
      </rPr>
      <t xml:space="preserve">同一問題</t>
    </r>
    <r>
      <rPr>
        <b val="true"/>
        <sz val="10"/>
        <color rgb="FFFFFFFF"/>
        <rFont val="Arial"/>
        <family val="0"/>
        <charset val="1"/>
      </rPr>
      <t xml:space="preserve">+</t>
    </r>
    <r>
      <rPr>
        <b val="true"/>
        <sz val="10"/>
        <color rgb="FFFFFFFF"/>
        <rFont val="Noto Sans CJK SC"/>
        <family val="2"/>
      </rPr>
      <t xml:space="preserve">同テーマ</t>
    </r>
  </si>
</sst>
</file>

<file path=xl/styles.xml><?xml version="1.0" encoding="utf-8"?>
<styleSheet xmlns="http://schemas.openxmlformats.org/spreadsheetml/2006/main">
  <numFmts count="3">
    <numFmt numFmtId="164" formatCode="General"/>
    <numFmt numFmtId="165" formatCode="0.0%"/>
    <numFmt numFmtId="166" formatCode="0.0"/>
  </numFmts>
  <fonts count="15">
    <font>
      <sz val="11"/>
      <color theme="1"/>
      <name val="Calibri"/>
      <family val="2"/>
      <charset val="1"/>
    </font>
    <font>
      <sz val="10"/>
      <name val="Arial"/>
      <family val="0"/>
    </font>
    <font>
      <sz val="10"/>
      <name val="Arial"/>
      <family val="0"/>
    </font>
    <font>
      <sz val="10"/>
      <name val="Arial"/>
      <family val="0"/>
    </font>
    <font>
      <b val="true"/>
      <sz val="14"/>
      <name val="Noto Sans CJK SC"/>
      <family val="2"/>
    </font>
    <font>
      <b val="true"/>
      <sz val="14"/>
      <name val="Arial"/>
      <family val="0"/>
      <charset val="1"/>
    </font>
    <font>
      <sz val="9"/>
      <color rgb="FF595959"/>
      <name val="Noto Sans CJK SC"/>
      <family val="2"/>
    </font>
    <font>
      <sz val="9"/>
      <color rgb="FF595959"/>
      <name val="Arial"/>
      <family val="0"/>
      <charset val="1"/>
    </font>
    <font>
      <b val="true"/>
      <sz val="10"/>
      <color rgb="FFFFFFFF"/>
      <name val="Noto Sans CJK SC"/>
      <family val="2"/>
    </font>
    <font>
      <sz val="10"/>
      <name val="Noto Sans CJK SC"/>
      <family val="2"/>
    </font>
    <font>
      <sz val="10"/>
      <name val="Arial"/>
      <family val="0"/>
      <charset val="1"/>
    </font>
    <font>
      <sz val="10"/>
      <color rgb="FF0000FF"/>
      <name val="Arial"/>
      <family val="0"/>
      <charset val="1"/>
    </font>
    <font>
      <b val="true"/>
      <sz val="10"/>
      <name val="Noto Sans CJK SC"/>
      <family val="2"/>
    </font>
    <font>
      <b val="true"/>
      <sz val="10"/>
      <color rgb="FFFFFFFF"/>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2F2F2"/>
        <bgColor rgb="FFFFFFFF"/>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5" fontId="10"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3" fillId="2" borderId="0" xfId="0" applyFont="true" applyBorder="fals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6" fontId="10" fillId="0" borderId="1" xfId="0" applyFont="true" applyBorder="true" applyAlignment="true" applyProtection="false">
      <alignment horizontal="general" vertical="top"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center"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60"/>
  </cols>
  <sheetData>
    <row r="1" customFormat="false" ht="21.6"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row>
    <row r="5" customFormat="false" ht="15" hidden="false" customHeight="false" outlineLevel="0" collapsed="false">
      <c r="A5" s="4" t="s">
        <v>5</v>
      </c>
      <c r="B5" s="4" t="n">
        <f aca="false">COUNT(問題一覧!$B$5:$B$254)</f>
        <v>250</v>
      </c>
      <c r="C5" s="5" t="s">
        <v>6</v>
      </c>
    </row>
    <row r="6" customFormat="false" ht="15" hidden="false" customHeight="false" outlineLevel="0" collapsed="false">
      <c r="A6" s="4" t="s">
        <v>7</v>
      </c>
      <c r="B6" s="6" t="n">
        <v>10</v>
      </c>
      <c r="C6" s="5" t="s">
        <v>8</v>
      </c>
    </row>
    <row r="7" customFormat="false" ht="15" hidden="false" customHeight="false" outlineLevel="0" collapsed="false">
      <c r="A7" s="4" t="s">
        <v>9</v>
      </c>
      <c r="B7" s="4" t="n">
        <f aca="false">COUNT(問題一覧!$E$5:$E$254)</f>
        <v>96</v>
      </c>
      <c r="C7" s="5" t="s">
        <v>10</v>
      </c>
    </row>
    <row r="8" customFormat="false" ht="15" hidden="false" customHeight="false" outlineLevel="0" collapsed="false">
      <c r="A8" s="4" t="s">
        <v>11</v>
      </c>
      <c r="B8" s="4" t="n">
        <f aca="false">COUNTA(再出題一覧!A5:A49)</f>
        <v>45</v>
      </c>
      <c r="C8" s="5" t="s">
        <v>12</v>
      </c>
    </row>
    <row r="9" customFormat="false" ht="15" hidden="false" customHeight="false" outlineLevel="0" collapsed="false">
      <c r="A9" s="4" t="s">
        <v>13</v>
      </c>
      <c r="B9" s="4" t="n">
        <f aca="false">B5-B7+B8</f>
        <v>199</v>
      </c>
      <c r="C9" s="5" t="s">
        <v>14</v>
      </c>
    </row>
    <row r="10" customFormat="false" ht="15" hidden="false" customHeight="false" outlineLevel="0" collapsed="false">
      <c r="A10" s="4" t="s">
        <v>15</v>
      </c>
      <c r="B10" s="7" t="n">
        <f aca="false">B7/B5</f>
        <v>0.384</v>
      </c>
      <c r="C10" s="5" t="s">
        <v>16</v>
      </c>
    </row>
    <row r="11" customFormat="false" ht="15" hidden="false" customHeight="false" outlineLevel="0" collapsed="false">
      <c r="A11" s="4" t="s">
        <v>17</v>
      </c>
      <c r="B11" s="4" t="n">
        <f aca="false">再出題の間隔!B5</f>
        <v>0</v>
      </c>
      <c r="C11" s="5" t="s">
        <v>18</v>
      </c>
    </row>
    <row r="12" customFormat="false" ht="15" hidden="false" customHeight="false" outlineLevel="0" collapsed="false">
      <c r="A12" s="8" t="s">
        <v>19</v>
      </c>
      <c r="B12" s="4" t="n">
        <f aca="false">再出題の間隔!B6</f>
        <v>20</v>
      </c>
      <c r="C12" s="5" t="s">
        <v>20</v>
      </c>
    </row>
    <row r="14" customFormat="false" ht="15" hidden="false" customHeight="false" outlineLevel="0" collapsed="false">
      <c r="A14" s="9" t="s">
        <v>21</v>
      </c>
    </row>
    <row r="15" customFormat="false" ht="15" hidden="false" customHeight="false" outlineLevel="0" collapsed="false">
      <c r="A15" s="10" t="s">
        <v>22</v>
      </c>
    </row>
    <row r="16" customFormat="false" ht="15" hidden="false" customHeight="false" outlineLevel="0" collapsed="false">
      <c r="A16" s="10" t="s">
        <v>23</v>
      </c>
    </row>
    <row r="17" customFormat="false" ht="15" hidden="false" customHeight="false" outlineLevel="0" collapsed="false">
      <c r="A17" s="10" t="s">
        <v>24</v>
      </c>
    </row>
    <row r="18" customFormat="false" ht="15" hidden="false" customHeight="false" outlineLevel="0" collapsed="false">
      <c r="A18" s="10" t="s">
        <v>25</v>
      </c>
    </row>
    <row r="19" customFormat="false" ht="15" hidden="false" customHeight="false" outlineLevel="0" collapsed="false">
      <c r="A19" s="9" t="s">
        <v>26</v>
      </c>
    </row>
    <row r="20" customFormat="false" ht="15" hidden="false" customHeight="false" outlineLevel="0" collapsed="false">
      <c r="A20" s="10" t="s">
        <v>27</v>
      </c>
    </row>
    <row r="21" customFormat="false" ht="15" hidden="false" customHeight="false" outlineLevel="0" collapsed="false">
      <c r="A21" s="10" t="s">
        <v>28</v>
      </c>
    </row>
    <row r="22" customFormat="false" ht="15" hidden="false" customHeight="false" outlineLevel="0" collapsed="false">
      <c r="A22" s="10" t="s">
        <v>29</v>
      </c>
    </row>
    <row r="23" customFormat="false" ht="15" hidden="false" customHeight="false" outlineLevel="0" collapsed="false">
      <c r="A23" s="10"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26"/>
    <col collapsed="false" customWidth="true" hidden="false" outlineLevel="0" max="4" min="4" style="0" width="46"/>
    <col collapsed="false" customWidth="true" hidden="false" outlineLevel="0" max="5" min="5" style="0" width="16"/>
  </cols>
  <sheetData>
    <row r="1" customFormat="false" ht="21.6" hidden="false" customHeight="false" outlineLevel="0" collapsed="false">
      <c r="A1" s="1" t="s">
        <v>31</v>
      </c>
    </row>
    <row r="2" customFormat="false" ht="15" hidden="false" customHeight="false" outlineLevel="0" collapsed="false">
      <c r="A2" s="2" t="s">
        <v>32</v>
      </c>
    </row>
    <row r="4" customFormat="false" ht="15" hidden="false" customHeight="false" outlineLevel="0" collapsed="false">
      <c r="A4" s="3" t="s">
        <v>33</v>
      </c>
      <c r="B4" s="3" t="s">
        <v>34</v>
      </c>
      <c r="C4" s="3" t="s">
        <v>35</v>
      </c>
      <c r="D4" s="3" t="s">
        <v>36</v>
      </c>
      <c r="E4" s="3" t="s">
        <v>37</v>
      </c>
    </row>
    <row r="5" customFormat="false" ht="15" hidden="false" customHeight="false" outlineLevel="0" collapsed="false">
      <c r="A5" s="4" t="n">
        <v>2015</v>
      </c>
      <c r="B5" s="4" t="n">
        <v>1</v>
      </c>
      <c r="C5" s="8" t="s">
        <v>38</v>
      </c>
      <c r="D5" s="8" t="s">
        <v>39</v>
      </c>
      <c r="E5" s="4"/>
    </row>
    <row r="6" customFormat="false" ht="15" hidden="false" customHeight="false" outlineLevel="0" collapsed="false">
      <c r="A6" s="4" t="n">
        <v>2015</v>
      </c>
      <c r="B6" s="4" t="n">
        <v>2</v>
      </c>
      <c r="C6" s="8" t="s">
        <v>38</v>
      </c>
      <c r="D6" s="8" t="s">
        <v>40</v>
      </c>
      <c r="E6" s="4"/>
    </row>
    <row r="7" customFormat="false" ht="15" hidden="false" customHeight="false" outlineLevel="0" collapsed="false">
      <c r="A7" s="4" t="n">
        <v>2015</v>
      </c>
      <c r="B7" s="4" t="n">
        <v>3</v>
      </c>
      <c r="C7" s="8" t="s">
        <v>38</v>
      </c>
      <c r="D7" s="4" t="s">
        <v>41</v>
      </c>
      <c r="E7" s="4"/>
    </row>
    <row r="8" customFormat="false" ht="15" hidden="false" customHeight="false" outlineLevel="0" collapsed="false">
      <c r="A8" s="4" t="n">
        <v>2015</v>
      </c>
      <c r="B8" s="4" t="n">
        <v>4</v>
      </c>
      <c r="C8" s="8" t="s">
        <v>38</v>
      </c>
      <c r="D8" s="4" t="s">
        <v>42</v>
      </c>
      <c r="E8" s="4" t="n">
        <v>6</v>
      </c>
    </row>
    <row r="9" customFormat="false" ht="15" hidden="false" customHeight="false" outlineLevel="0" collapsed="false">
      <c r="A9" s="4" t="n">
        <v>2015</v>
      </c>
      <c r="B9" s="4" t="n">
        <v>5</v>
      </c>
      <c r="C9" s="8" t="s">
        <v>38</v>
      </c>
      <c r="D9" s="4" t="s">
        <v>43</v>
      </c>
      <c r="E9" s="4" t="n">
        <v>7</v>
      </c>
    </row>
    <row r="10" customFormat="false" ht="15" hidden="false" customHeight="false" outlineLevel="0" collapsed="false">
      <c r="A10" s="4" t="n">
        <v>2015</v>
      </c>
      <c r="B10" s="4" t="n">
        <v>6</v>
      </c>
      <c r="C10" s="8" t="s">
        <v>44</v>
      </c>
      <c r="D10" s="8" t="s">
        <v>45</v>
      </c>
      <c r="E10" s="4" t="n">
        <v>8</v>
      </c>
    </row>
    <row r="11" customFormat="false" ht="15" hidden="false" customHeight="false" outlineLevel="0" collapsed="false">
      <c r="A11" s="4" t="n">
        <v>2015</v>
      </c>
      <c r="B11" s="4" t="n">
        <v>7</v>
      </c>
      <c r="C11" s="8" t="s">
        <v>38</v>
      </c>
      <c r="D11" s="4" t="s">
        <v>43</v>
      </c>
      <c r="E11" s="4" t="n">
        <v>9</v>
      </c>
    </row>
    <row r="12" customFormat="false" ht="15" hidden="false" customHeight="false" outlineLevel="0" collapsed="false">
      <c r="A12" s="4" t="n">
        <v>2015</v>
      </c>
      <c r="B12" s="4" t="n">
        <v>8</v>
      </c>
      <c r="C12" s="8" t="s">
        <v>38</v>
      </c>
      <c r="D12" s="4" t="s">
        <v>46</v>
      </c>
      <c r="E12" s="4" t="n">
        <v>10</v>
      </c>
    </row>
    <row r="13" customFormat="false" ht="15" hidden="false" customHeight="false" outlineLevel="0" collapsed="false">
      <c r="A13" s="4" t="n">
        <v>2015</v>
      </c>
      <c r="B13" s="4" t="n">
        <v>9</v>
      </c>
      <c r="C13" s="8" t="s">
        <v>38</v>
      </c>
      <c r="D13" s="4" t="s">
        <v>47</v>
      </c>
      <c r="E13" s="4" t="n">
        <v>11</v>
      </c>
    </row>
    <row r="14" customFormat="false" ht="15" hidden="false" customHeight="false" outlineLevel="0" collapsed="false">
      <c r="A14" s="4" t="n">
        <v>2015</v>
      </c>
      <c r="B14" s="4" t="n">
        <v>10</v>
      </c>
      <c r="C14" s="8" t="s">
        <v>38</v>
      </c>
      <c r="D14" s="4" t="s">
        <v>46</v>
      </c>
      <c r="E14" s="4"/>
    </row>
    <row r="15" customFormat="false" ht="15" hidden="false" customHeight="false" outlineLevel="0" collapsed="false">
      <c r="A15" s="4" t="n">
        <v>2015</v>
      </c>
      <c r="B15" s="4" t="n">
        <v>11</v>
      </c>
      <c r="C15" s="8" t="s">
        <v>38</v>
      </c>
      <c r="D15" s="4" t="s">
        <v>48</v>
      </c>
      <c r="E15" s="4"/>
    </row>
    <row r="16" customFormat="false" ht="15" hidden="false" customHeight="false" outlineLevel="0" collapsed="false">
      <c r="A16" s="4" t="n">
        <v>2015</v>
      </c>
      <c r="B16" s="4" t="n">
        <v>12</v>
      </c>
      <c r="C16" s="8" t="s">
        <v>38</v>
      </c>
      <c r="D16" s="4" t="s">
        <v>49</v>
      </c>
      <c r="E16" s="4" t="n">
        <v>12</v>
      </c>
    </row>
    <row r="17" customFormat="false" ht="15" hidden="false" customHeight="false" outlineLevel="0" collapsed="false">
      <c r="A17" s="4" t="n">
        <v>2015</v>
      </c>
      <c r="B17" s="4" t="n">
        <v>13</v>
      </c>
      <c r="C17" s="8" t="s">
        <v>50</v>
      </c>
      <c r="D17" s="4" t="s">
        <v>51</v>
      </c>
      <c r="E17" s="4" t="n">
        <v>13</v>
      </c>
    </row>
    <row r="18" customFormat="false" ht="15" hidden="false" customHeight="false" outlineLevel="0" collapsed="false">
      <c r="A18" s="4" t="n">
        <v>2015</v>
      </c>
      <c r="B18" s="4" t="n">
        <v>14</v>
      </c>
      <c r="C18" s="8" t="s">
        <v>52</v>
      </c>
      <c r="D18" s="8" t="s">
        <v>53</v>
      </c>
      <c r="E18" s="4"/>
    </row>
    <row r="19" customFormat="false" ht="15" hidden="false" customHeight="false" outlineLevel="0" collapsed="false">
      <c r="A19" s="4" t="n">
        <v>2015</v>
      </c>
      <c r="B19" s="4" t="n">
        <v>15</v>
      </c>
      <c r="C19" s="8" t="s">
        <v>52</v>
      </c>
      <c r="D19" s="4" t="s">
        <v>48</v>
      </c>
      <c r="E19" s="4"/>
    </row>
    <row r="20" customFormat="false" ht="15" hidden="false" customHeight="false" outlineLevel="0" collapsed="false">
      <c r="A20" s="4" t="n">
        <v>2015</v>
      </c>
      <c r="B20" s="4" t="n">
        <v>16</v>
      </c>
      <c r="C20" s="8" t="s">
        <v>52</v>
      </c>
      <c r="D20" s="4" t="s">
        <v>54</v>
      </c>
      <c r="E20" s="4" t="n">
        <v>0</v>
      </c>
    </row>
    <row r="21" customFormat="false" ht="15" hidden="false" customHeight="false" outlineLevel="0" collapsed="false">
      <c r="A21" s="4" t="n">
        <v>2015</v>
      </c>
      <c r="B21" s="4" t="n">
        <v>17</v>
      </c>
      <c r="C21" s="8" t="s">
        <v>44</v>
      </c>
      <c r="D21" s="8" t="s">
        <v>55</v>
      </c>
      <c r="E21" s="4"/>
    </row>
    <row r="22" customFormat="false" ht="15" hidden="false" customHeight="false" outlineLevel="0" collapsed="false">
      <c r="A22" s="4" t="n">
        <v>2015</v>
      </c>
      <c r="B22" s="4" t="n">
        <v>18</v>
      </c>
      <c r="C22" s="8" t="s">
        <v>56</v>
      </c>
      <c r="D22" s="4" t="s">
        <v>57</v>
      </c>
      <c r="E22" s="4"/>
    </row>
    <row r="23" customFormat="false" ht="15" hidden="false" customHeight="false" outlineLevel="0" collapsed="false">
      <c r="A23" s="4" t="n">
        <v>2015</v>
      </c>
      <c r="B23" s="4" t="n">
        <v>19</v>
      </c>
      <c r="C23" s="8" t="s">
        <v>44</v>
      </c>
      <c r="D23" s="4" t="s">
        <v>58</v>
      </c>
      <c r="E23" s="4" t="n">
        <v>14</v>
      </c>
    </row>
    <row r="24" customFormat="false" ht="15" hidden="false" customHeight="false" outlineLevel="0" collapsed="false">
      <c r="A24" s="4" t="n">
        <v>2015</v>
      </c>
      <c r="B24" s="4" t="n">
        <v>20</v>
      </c>
      <c r="C24" s="8" t="s">
        <v>56</v>
      </c>
      <c r="D24" s="4" t="s">
        <v>59</v>
      </c>
      <c r="E24" s="4"/>
    </row>
    <row r="25" customFormat="false" ht="15" hidden="false" customHeight="false" outlineLevel="0" collapsed="false">
      <c r="A25" s="4" t="n">
        <v>2015</v>
      </c>
      <c r="B25" s="4" t="n">
        <v>21</v>
      </c>
      <c r="C25" s="8" t="s">
        <v>60</v>
      </c>
      <c r="D25" s="8" t="s">
        <v>61</v>
      </c>
      <c r="E25" s="4"/>
    </row>
    <row r="26" customFormat="false" ht="15" hidden="false" customHeight="false" outlineLevel="0" collapsed="false">
      <c r="A26" s="4" t="n">
        <v>2015</v>
      </c>
      <c r="B26" s="4" t="n">
        <v>22</v>
      </c>
      <c r="C26" s="8" t="s">
        <v>62</v>
      </c>
      <c r="D26" s="8" t="s">
        <v>63</v>
      </c>
      <c r="E26" s="4"/>
    </row>
    <row r="27" customFormat="false" ht="15" hidden="false" customHeight="false" outlineLevel="0" collapsed="false">
      <c r="A27" s="4" t="n">
        <v>2015</v>
      </c>
      <c r="B27" s="4" t="n">
        <v>23</v>
      </c>
      <c r="C27" s="8" t="s">
        <v>64</v>
      </c>
      <c r="D27" s="4" t="s">
        <v>65</v>
      </c>
      <c r="E27" s="4"/>
    </row>
    <row r="28" customFormat="false" ht="15" hidden="false" customHeight="false" outlineLevel="0" collapsed="false">
      <c r="A28" s="4" t="n">
        <v>2015</v>
      </c>
      <c r="B28" s="4" t="n">
        <v>24</v>
      </c>
      <c r="C28" s="8" t="s">
        <v>64</v>
      </c>
      <c r="D28" s="4" t="s">
        <v>66</v>
      </c>
      <c r="E28" s="4"/>
    </row>
    <row r="29" customFormat="false" ht="15" hidden="false" customHeight="false" outlineLevel="0" collapsed="false">
      <c r="A29" s="4" t="n">
        <v>2015</v>
      </c>
      <c r="B29" s="4" t="n">
        <v>25</v>
      </c>
      <c r="C29" s="8" t="s">
        <v>64</v>
      </c>
      <c r="D29" s="8" t="s">
        <v>67</v>
      </c>
      <c r="E29" s="4"/>
    </row>
    <row r="30" customFormat="false" ht="15" hidden="false" customHeight="false" outlineLevel="0" collapsed="false">
      <c r="A30" s="4" t="n">
        <v>2016</v>
      </c>
      <c r="B30" s="4" t="n">
        <v>1</v>
      </c>
      <c r="C30" s="8" t="s">
        <v>38</v>
      </c>
      <c r="D30" s="8" t="s">
        <v>39</v>
      </c>
      <c r="E30" s="4"/>
    </row>
    <row r="31" customFormat="false" ht="15" hidden="false" customHeight="false" outlineLevel="0" collapsed="false">
      <c r="A31" s="4" t="n">
        <v>2016</v>
      </c>
      <c r="B31" s="4" t="n">
        <v>2</v>
      </c>
      <c r="C31" s="8" t="s">
        <v>38</v>
      </c>
      <c r="D31" s="4" t="s">
        <v>48</v>
      </c>
      <c r="E31" s="4"/>
    </row>
    <row r="32" customFormat="false" ht="15" hidden="false" customHeight="false" outlineLevel="0" collapsed="false">
      <c r="A32" s="4" t="n">
        <v>2016</v>
      </c>
      <c r="B32" s="4" t="n">
        <v>3</v>
      </c>
      <c r="C32" s="8" t="s">
        <v>38</v>
      </c>
      <c r="D32" s="8" t="s">
        <v>68</v>
      </c>
      <c r="E32" s="4"/>
    </row>
    <row r="33" customFormat="false" ht="15" hidden="false" customHeight="false" outlineLevel="0" collapsed="false">
      <c r="A33" s="4" t="n">
        <v>2016</v>
      </c>
      <c r="B33" s="4" t="n">
        <v>4</v>
      </c>
      <c r="C33" s="8" t="s">
        <v>38</v>
      </c>
      <c r="D33" s="4" t="s">
        <v>69</v>
      </c>
      <c r="E33" s="4" t="n">
        <v>15</v>
      </c>
    </row>
    <row r="34" customFormat="false" ht="15" hidden="false" customHeight="false" outlineLevel="0" collapsed="false">
      <c r="A34" s="4" t="n">
        <v>2016</v>
      </c>
      <c r="B34" s="4" t="n">
        <v>5</v>
      </c>
      <c r="C34" s="8" t="s">
        <v>60</v>
      </c>
      <c r="D34" s="4" t="s">
        <v>70</v>
      </c>
      <c r="E34" s="4"/>
    </row>
    <row r="35" customFormat="false" ht="15" hidden="false" customHeight="false" outlineLevel="0" collapsed="false">
      <c r="A35" s="4" t="n">
        <v>2016</v>
      </c>
      <c r="B35" s="4" t="n">
        <v>6</v>
      </c>
      <c r="C35" s="8" t="s">
        <v>38</v>
      </c>
      <c r="D35" s="8" t="s">
        <v>68</v>
      </c>
      <c r="E35" s="4"/>
    </row>
    <row r="36" customFormat="false" ht="15" hidden="false" customHeight="false" outlineLevel="0" collapsed="false">
      <c r="A36" s="4" t="n">
        <v>2016</v>
      </c>
      <c r="B36" s="4" t="n">
        <v>7</v>
      </c>
      <c r="C36" s="8" t="s">
        <v>38</v>
      </c>
      <c r="D36" s="4" t="s">
        <v>71</v>
      </c>
      <c r="E36" s="4"/>
    </row>
    <row r="37" customFormat="false" ht="15" hidden="false" customHeight="false" outlineLevel="0" collapsed="false">
      <c r="A37" s="4" t="n">
        <v>2016</v>
      </c>
      <c r="B37" s="4" t="n">
        <v>8</v>
      </c>
      <c r="C37" s="8" t="s">
        <v>38</v>
      </c>
      <c r="D37" s="8" t="s">
        <v>72</v>
      </c>
      <c r="E37" s="4"/>
    </row>
    <row r="38" customFormat="false" ht="15" hidden="false" customHeight="false" outlineLevel="0" collapsed="false">
      <c r="A38" s="4" t="n">
        <v>2016</v>
      </c>
      <c r="B38" s="4" t="n">
        <v>9</v>
      </c>
      <c r="C38" s="8" t="s">
        <v>38</v>
      </c>
      <c r="D38" s="4" t="s">
        <v>73</v>
      </c>
      <c r="E38" s="4"/>
    </row>
    <row r="39" customFormat="false" ht="15" hidden="false" customHeight="false" outlineLevel="0" collapsed="false">
      <c r="A39" s="4" t="n">
        <v>2016</v>
      </c>
      <c r="B39" s="4" t="n">
        <v>10</v>
      </c>
      <c r="C39" s="8" t="s">
        <v>38</v>
      </c>
      <c r="D39" s="4" t="s">
        <v>46</v>
      </c>
      <c r="E39" s="4"/>
    </row>
    <row r="40" customFormat="false" ht="15" hidden="false" customHeight="false" outlineLevel="0" collapsed="false">
      <c r="A40" s="4" t="n">
        <v>2016</v>
      </c>
      <c r="B40" s="4" t="n">
        <v>11</v>
      </c>
      <c r="C40" s="8" t="s">
        <v>38</v>
      </c>
      <c r="D40" s="4" t="s">
        <v>74</v>
      </c>
      <c r="E40" s="4"/>
    </row>
    <row r="41" customFormat="false" ht="15" hidden="false" customHeight="false" outlineLevel="0" collapsed="false">
      <c r="A41" s="4" t="n">
        <v>2016</v>
      </c>
      <c r="B41" s="4" t="n">
        <v>12</v>
      </c>
      <c r="C41" s="8" t="s">
        <v>38</v>
      </c>
      <c r="D41" s="4" t="s">
        <v>75</v>
      </c>
      <c r="E41" s="4"/>
    </row>
    <row r="42" customFormat="false" ht="15" hidden="false" customHeight="false" outlineLevel="0" collapsed="false">
      <c r="A42" s="4" t="n">
        <v>2016</v>
      </c>
      <c r="B42" s="4" t="n">
        <v>13</v>
      </c>
      <c r="C42" s="8" t="s">
        <v>38</v>
      </c>
      <c r="D42" s="4" t="s">
        <v>41</v>
      </c>
      <c r="E42" s="4" t="n">
        <v>16</v>
      </c>
    </row>
    <row r="43" customFormat="false" ht="15" hidden="false" customHeight="false" outlineLevel="0" collapsed="false">
      <c r="A43" s="4" t="n">
        <v>2016</v>
      </c>
      <c r="B43" s="4" t="n">
        <v>14</v>
      </c>
      <c r="C43" s="8" t="s">
        <v>64</v>
      </c>
      <c r="D43" s="4" t="s">
        <v>76</v>
      </c>
      <c r="E43" s="4"/>
    </row>
    <row r="44" customFormat="false" ht="15" hidden="false" customHeight="false" outlineLevel="0" collapsed="false">
      <c r="A44" s="4" t="n">
        <v>2016</v>
      </c>
      <c r="B44" s="4" t="n">
        <v>15</v>
      </c>
      <c r="C44" s="8" t="s">
        <v>52</v>
      </c>
      <c r="D44" s="4" t="s">
        <v>77</v>
      </c>
      <c r="E44" s="4"/>
    </row>
    <row r="45" customFormat="false" ht="15" hidden="false" customHeight="false" outlineLevel="0" collapsed="false">
      <c r="A45" s="4" t="n">
        <v>2016</v>
      </c>
      <c r="B45" s="4" t="n">
        <v>16</v>
      </c>
      <c r="C45" s="8" t="s">
        <v>52</v>
      </c>
      <c r="D45" s="4" t="s">
        <v>54</v>
      </c>
      <c r="E45" s="4"/>
    </row>
    <row r="46" customFormat="false" ht="15" hidden="false" customHeight="false" outlineLevel="0" collapsed="false">
      <c r="A46" s="4" t="n">
        <v>2016</v>
      </c>
      <c r="B46" s="4" t="n">
        <v>17</v>
      </c>
      <c r="C46" s="8" t="s">
        <v>78</v>
      </c>
      <c r="D46" s="8" t="s">
        <v>79</v>
      </c>
      <c r="E46" s="4"/>
    </row>
    <row r="47" customFormat="false" ht="15" hidden="false" customHeight="false" outlineLevel="0" collapsed="false">
      <c r="A47" s="4" t="n">
        <v>2016</v>
      </c>
      <c r="B47" s="4" t="n">
        <v>18</v>
      </c>
      <c r="C47" s="8" t="s">
        <v>44</v>
      </c>
      <c r="D47" s="4" t="s">
        <v>80</v>
      </c>
      <c r="E47" s="4"/>
    </row>
    <row r="48" customFormat="false" ht="15" hidden="false" customHeight="false" outlineLevel="0" collapsed="false">
      <c r="A48" s="4" t="n">
        <v>2016</v>
      </c>
      <c r="B48" s="4" t="n">
        <v>19</v>
      </c>
      <c r="C48" s="8" t="s">
        <v>44</v>
      </c>
      <c r="D48" s="4" t="s">
        <v>81</v>
      </c>
      <c r="E48" s="4"/>
    </row>
    <row r="49" customFormat="false" ht="15" hidden="false" customHeight="false" outlineLevel="0" collapsed="false">
      <c r="A49" s="4" t="n">
        <v>2016</v>
      </c>
      <c r="B49" s="4" t="n">
        <v>20</v>
      </c>
      <c r="C49" s="8" t="s">
        <v>44</v>
      </c>
      <c r="D49" s="4" t="s">
        <v>80</v>
      </c>
      <c r="E49" s="4"/>
    </row>
    <row r="50" customFormat="false" ht="15" hidden="false" customHeight="false" outlineLevel="0" collapsed="false">
      <c r="A50" s="4" t="n">
        <v>2016</v>
      </c>
      <c r="B50" s="4" t="n">
        <v>21</v>
      </c>
      <c r="C50" s="8" t="s">
        <v>60</v>
      </c>
      <c r="D50" s="4" t="s">
        <v>82</v>
      </c>
      <c r="E50" s="4"/>
    </row>
    <row r="51" customFormat="false" ht="15" hidden="false" customHeight="false" outlineLevel="0" collapsed="false">
      <c r="A51" s="4" t="n">
        <v>2016</v>
      </c>
      <c r="B51" s="4" t="n">
        <v>22</v>
      </c>
      <c r="C51" s="8" t="s">
        <v>44</v>
      </c>
      <c r="D51" s="4" t="s">
        <v>83</v>
      </c>
      <c r="E51" s="4" t="n">
        <v>17</v>
      </c>
    </row>
    <row r="52" customFormat="false" ht="15" hidden="false" customHeight="false" outlineLevel="0" collapsed="false">
      <c r="A52" s="4" t="n">
        <v>2016</v>
      </c>
      <c r="B52" s="4" t="n">
        <v>23</v>
      </c>
      <c r="C52" s="8" t="s">
        <v>64</v>
      </c>
      <c r="D52" s="4" t="s">
        <v>65</v>
      </c>
      <c r="E52" s="4"/>
    </row>
    <row r="53" customFormat="false" ht="15" hidden="false" customHeight="false" outlineLevel="0" collapsed="false">
      <c r="A53" s="4" t="n">
        <v>2016</v>
      </c>
      <c r="B53" s="4" t="n">
        <v>24</v>
      </c>
      <c r="C53" s="8" t="s">
        <v>64</v>
      </c>
      <c r="D53" s="8" t="s">
        <v>67</v>
      </c>
      <c r="E53" s="4"/>
    </row>
    <row r="54" customFormat="false" ht="15" hidden="false" customHeight="false" outlineLevel="0" collapsed="false">
      <c r="A54" s="4" t="n">
        <v>2016</v>
      </c>
      <c r="B54" s="4" t="n">
        <v>25</v>
      </c>
      <c r="C54" s="8" t="s">
        <v>64</v>
      </c>
      <c r="D54" s="4" t="s">
        <v>84</v>
      </c>
      <c r="E54" s="4"/>
    </row>
    <row r="55" customFormat="false" ht="15" hidden="false" customHeight="false" outlineLevel="0" collapsed="false">
      <c r="A55" s="4" t="n">
        <v>2017</v>
      </c>
      <c r="B55" s="4" t="n">
        <v>1</v>
      </c>
      <c r="C55" s="8" t="s">
        <v>50</v>
      </c>
      <c r="D55" s="4" t="s">
        <v>85</v>
      </c>
      <c r="E55" s="4" t="n">
        <v>18</v>
      </c>
    </row>
    <row r="56" customFormat="false" ht="15" hidden="false" customHeight="false" outlineLevel="0" collapsed="false">
      <c r="A56" s="4" t="n">
        <v>2017</v>
      </c>
      <c r="B56" s="4" t="n">
        <v>2</v>
      </c>
      <c r="C56" s="8" t="s">
        <v>38</v>
      </c>
      <c r="D56" s="4" t="s">
        <v>86</v>
      </c>
      <c r="E56" s="4"/>
    </row>
    <row r="57" customFormat="false" ht="15" hidden="false" customHeight="false" outlineLevel="0" collapsed="false">
      <c r="A57" s="4" t="n">
        <v>2017</v>
      </c>
      <c r="B57" s="4" t="n">
        <v>3</v>
      </c>
      <c r="C57" s="8" t="s">
        <v>38</v>
      </c>
      <c r="D57" s="8" t="s">
        <v>40</v>
      </c>
      <c r="E57" s="4"/>
    </row>
    <row r="58" customFormat="false" ht="15" hidden="false" customHeight="false" outlineLevel="0" collapsed="false">
      <c r="A58" s="4" t="n">
        <v>2017</v>
      </c>
      <c r="B58" s="4" t="n">
        <v>4</v>
      </c>
      <c r="C58" s="8" t="s">
        <v>38</v>
      </c>
      <c r="D58" s="8" t="s">
        <v>87</v>
      </c>
      <c r="E58" s="4" t="n">
        <v>19</v>
      </c>
    </row>
    <row r="59" customFormat="false" ht="15" hidden="false" customHeight="false" outlineLevel="0" collapsed="false">
      <c r="A59" s="4" t="n">
        <v>2017</v>
      </c>
      <c r="B59" s="4" t="n">
        <v>5</v>
      </c>
      <c r="C59" s="8" t="s">
        <v>38</v>
      </c>
      <c r="D59" s="4" t="s">
        <v>43</v>
      </c>
      <c r="E59" s="4" t="n">
        <v>1</v>
      </c>
    </row>
    <row r="60" customFormat="false" ht="15" hidden="false" customHeight="false" outlineLevel="0" collapsed="false">
      <c r="A60" s="4" t="n">
        <v>2017</v>
      </c>
      <c r="B60" s="4" t="n">
        <v>6</v>
      </c>
      <c r="C60" s="8" t="s">
        <v>38</v>
      </c>
      <c r="D60" s="8" t="s">
        <v>88</v>
      </c>
      <c r="E60" s="4"/>
    </row>
    <row r="61" customFormat="false" ht="15" hidden="false" customHeight="false" outlineLevel="0" collapsed="false">
      <c r="A61" s="4" t="n">
        <v>2017</v>
      </c>
      <c r="B61" s="4" t="n">
        <v>7</v>
      </c>
      <c r="C61" s="8" t="s">
        <v>38</v>
      </c>
      <c r="D61" s="4" t="s">
        <v>89</v>
      </c>
      <c r="E61" s="4" t="n">
        <v>20</v>
      </c>
    </row>
    <row r="62" customFormat="false" ht="15" hidden="false" customHeight="false" outlineLevel="0" collapsed="false">
      <c r="A62" s="4" t="n">
        <v>2017</v>
      </c>
      <c r="B62" s="4" t="n">
        <v>8</v>
      </c>
      <c r="C62" s="8" t="s">
        <v>44</v>
      </c>
      <c r="D62" s="4" t="s">
        <v>58</v>
      </c>
      <c r="E62" s="4"/>
    </row>
    <row r="63" customFormat="false" ht="15" hidden="false" customHeight="false" outlineLevel="0" collapsed="false">
      <c r="A63" s="4" t="n">
        <v>2017</v>
      </c>
      <c r="B63" s="4" t="n">
        <v>9</v>
      </c>
      <c r="C63" s="8" t="s">
        <v>38</v>
      </c>
      <c r="D63" s="4" t="s">
        <v>74</v>
      </c>
      <c r="E63" s="4"/>
    </row>
    <row r="64" customFormat="false" ht="15" hidden="false" customHeight="false" outlineLevel="0" collapsed="false">
      <c r="A64" s="4" t="n">
        <v>2017</v>
      </c>
      <c r="B64" s="4" t="n">
        <v>10</v>
      </c>
      <c r="C64" s="8" t="s">
        <v>50</v>
      </c>
      <c r="D64" s="4" t="s">
        <v>90</v>
      </c>
      <c r="E64" s="4"/>
    </row>
    <row r="65" customFormat="false" ht="15" hidden="false" customHeight="false" outlineLevel="0" collapsed="false">
      <c r="A65" s="4" t="n">
        <v>2017</v>
      </c>
      <c r="B65" s="4" t="n">
        <v>11</v>
      </c>
      <c r="C65" s="8" t="s">
        <v>38</v>
      </c>
      <c r="D65" s="4" t="s">
        <v>91</v>
      </c>
      <c r="E65" s="4"/>
    </row>
    <row r="66" customFormat="false" ht="15" hidden="false" customHeight="false" outlineLevel="0" collapsed="false">
      <c r="A66" s="4" t="n">
        <v>2017</v>
      </c>
      <c r="B66" s="4" t="n">
        <v>12</v>
      </c>
      <c r="C66" s="8" t="s">
        <v>38</v>
      </c>
      <c r="D66" s="8" t="s">
        <v>92</v>
      </c>
      <c r="E66" s="4" t="n">
        <v>21</v>
      </c>
    </row>
    <row r="67" customFormat="false" ht="15" hidden="false" customHeight="false" outlineLevel="0" collapsed="false">
      <c r="A67" s="4" t="n">
        <v>2017</v>
      </c>
      <c r="B67" s="4" t="n">
        <v>13</v>
      </c>
      <c r="C67" s="8" t="s">
        <v>50</v>
      </c>
      <c r="D67" s="4" t="s">
        <v>51</v>
      </c>
      <c r="E67" s="4" t="n">
        <v>13</v>
      </c>
    </row>
    <row r="68" customFormat="false" ht="15" hidden="false" customHeight="false" outlineLevel="0" collapsed="false">
      <c r="A68" s="4" t="n">
        <v>2017</v>
      </c>
      <c r="B68" s="4" t="n">
        <v>14</v>
      </c>
      <c r="C68" s="8" t="s">
        <v>78</v>
      </c>
      <c r="D68" s="8" t="s">
        <v>93</v>
      </c>
      <c r="E68" s="4"/>
    </row>
    <row r="69" customFormat="false" ht="15" hidden="false" customHeight="false" outlineLevel="0" collapsed="false">
      <c r="A69" s="4" t="n">
        <v>2017</v>
      </c>
      <c r="B69" s="4" t="n">
        <v>15</v>
      </c>
      <c r="C69" s="8" t="s">
        <v>52</v>
      </c>
      <c r="D69" s="4" t="s">
        <v>94</v>
      </c>
      <c r="E69" s="4" t="n">
        <v>22</v>
      </c>
    </row>
    <row r="70" customFormat="false" ht="15" hidden="false" customHeight="false" outlineLevel="0" collapsed="false">
      <c r="A70" s="4" t="n">
        <v>2017</v>
      </c>
      <c r="B70" s="4" t="n">
        <v>16</v>
      </c>
      <c r="C70" s="8" t="s">
        <v>52</v>
      </c>
      <c r="D70" s="4" t="s">
        <v>54</v>
      </c>
      <c r="E70" s="4" t="n">
        <v>0</v>
      </c>
    </row>
    <row r="71" customFormat="false" ht="15" hidden="false" customHeight="false" outlineLevel="0" collapsed="false">
      <c r="A71" s="4" t="n">
        <v>2017</v>
      </c>
      <c r="B71" s="4" t="n">
        <v>17</v>
      </c>
      <c r="C71" s="8" t="s">
        <v>78</v>
      </c>
      <c r="D71" s="4" t="s">
        <v>95</v>
      </c>
      <c r="E71" s="4"/>
    </row>
    <row r="72" customFormat="false" ht="15" hidden="false" customHeight="false" outlineLevel="0" collapsed="false">
      <c r="A72" s="4" t="n">
        <v>2017</v>
      </c>
      <c r="B72" s="4" t="n">
        <v>18</v>
      </c>
      <c r="C72" s="8" t="s">
        <v>56</v>
      </c>
      <c r="D72" s="8" t="s">
        <v>96</v>
      </c>
      <c r="E72" s="4"/>
    </row>
    <row r="73" customFormat="false" ht="15" hidden="false" customHeight="false" outlineLevel="0" collapsed="false">
      <c r="A73" s="4" t="n">
        <v>2017</v>
      </c>
      <c r="B73" s="4" t="n">
        <v>19</v>
      </c>
      <c r="C73" s="8" t="s">
        <v>44</v>
      </c>
      <c r="D73" s="8" t="s">
        <v>97</v>
      </c>
      <c r="E73" s="4" t="n">
        <v>23</v>
      </c>
    </row>
    <row r="74" customFormat="false" ht="15" hidden="false" customHeight="false" outlineLevel="0" collapsed="false">
      <c r="A74" s="4" t="n">
        <v>2017</v>
      </c>
      <c r="B74" s="4" t="n">
        <v>20</v>
      </c>
      <c r="C74" s="8" t="s">
        <v>56</v>
      </c>
      <c r="D74" s="4" t="s">
        <v>59</v>
      </c>
      <c r="E74" s="4"/>
    </row>
    <row r="75" customFormat="false" ht="15" hidden="false" customHeight="false" outlineLevel="0" collapsed="false">
      <c r="A75" s="4" t="n">
        <v>2017</v>
      </c>
      <c r="B75" s="4" t="n">
        <v>21</v>
      </c>
      <c r="C75" s="8" t="s">
        <v>60</v>
      </c>
      <c r="D75" s="4" t="s">
        <v>70</v>
      </c>
      <c r="E75" s="4"/>
    </row>
    <row r="76" customFormat="false" ht="15" hidden="false" customHeight="false" outlineLevel="0" collapsed="false">
      <c r="A76" s="4" t="n">
        <v>2017</v>
      </c>
      <c r="B76" s="4" t="n">
        <v>22</v>
      </c>
      <c r="C76" s="8" t="s">
        <v>62</v>
      </c>
      <c r="D76" s="8" t="s">
        <v>98</v>
      </c>
      <c r="E76" s="4" t="n">
        <v>2</v>
      </c>
    </row>
    <row r="77" customFormat="false" ht="15" hidden="false" customHeight="false" outlineLevel="0" collapsed="false">
      <c r="A77" s="4" t="n">
        <v>2017</v>
      </c>
      <c r="B77" s="4" t="n">
        <v>23</v>
      </c>
      <c r="C77" s="8" t="s">
        <v>64</v>
      </c>
      <c r="D77" s="4" t="s">
        <v>66</v>
      </c>
      <c r="E77" s="4" t="n">
        <v>3</v>
      </c>
    </row>
    <row r="78" customFormat="false" ht="15" hidden="false" customHeight="false" outlineLevel="0" collapsed="false">
      <c r="A78" s="4" t="n">
        <v>2017</v>
      </c>
      <c r="B78" s="4" t="n">
        <v>24</v>
      </c>
      <c r="C78" s="8" t="s">
        <v>64</v>
      </c>
      <c r="D78" s="4" t="s">
        <v>84</v>
      </c>
      <c r="E78" s="4" t="n">
        <v>24</v>
      </c>
    </row>
    <row r="79" customFormat="false" ht="15" hidden="false" customHeight="false" outlineLevel="0" collapsed="false">
      <c r="A79" s="4" t="n">
        <v>2017</v>
      </c>
      <c r="B79" s="4" t="n">
        <v>25</v>
      </c>
      <c r="C79" s="8" t="s">
        <v>64</v>
      </c>
      <c r="D79" s="4" t="s">
        <v>99</v>
      </c>
      <c r="E79" s="4" t="n">
        <v>4</v>
      </c>
    </row>
    <row r="80" customFormat="false" ht="15" hidden="false" customHeight="false" outlineLevel="0" collapsed="false">
      <c r="A80" s="4" t="n">
        <v>2018</v>
      </c>
      <c r="B80" s="4" t="n">
        <v>1</v>
      </c>
      <c r="C80" s="8" t="s">
        <v>38</v>
      </c>
      <c r="D80" s="8" t="s">
        <v>100</v>
      </c>
      <c r="E80" s="4"/>
    </row>
    <row r="81" customFormat="false" ht="15" hidden="false" customHeight="false" outlineLevel="0" collapsed="false">
      <c r="A81" s="4" t="n">
        <v>2018</v>
      </c>
      <c r="B81" s="4" t="n">
        <v>2</v>
      </c>
      <c r="C81" s="8" t="s">
        <v>52</v>
      </c>
      <c r="D81" s="4" t="s">
        <v>48</v>
      </c>
      <c r="E81" s="4"/>
    </row>
    <row r="82" customFormat="false" ht="15" hidden="false" customHeight="false" outlineLevel="0" collapsed="false">
      <c r="A82" s="4" t="n">
        <v>2018</v>
      </c>
      <c r="B82" s="4" t="n">
        <v>3</v>
      </c>
      <c r="C82" s="8" t="s">
        <v>50</v>
      </c>
      <c r="D82" s="8" t="s">
        <v>101</v>
      </c>
      <c r="E82" s="4"/>
    </row>
    <row r="83" customFormat="false" ht="15" hidden="false" customHeight="false" outlineLevel="0" collapsed="false">
      <c r="A83" s="4" t="n">
        <v>2018</v>
      </c>
      <c r="B83" s="4" t="n">
        <v>4</v>
      </c>
      <c r="C83" s="8" t="s">
        <v>38</v>
      </c>
      <c r="D83" s="4" t="s">
        <v>102</v>
      </c>
      <c r="E83" s="4"/>
    </row>
    <row r="84" customFormat="false" ht="15" hidden="false" customHeight="false" outlineLevel="0" collapsed="false">
      <c r="A84" s="4" t="n">
        <v>2018</v>
      </c>
      <c r="B84" s="4" t="n">
        <v>5</v>
      </c>
      <c r="C84" s="8" t="s">
        <v>38</v>
      </c>
      <c r="D84" s="4" t="s">
        <v>86</v>
      </c>
      <c r="E84" s="4"/>
    </row>
    <row r="85" customFormat="false" ht="15" hidden="false" customHeight="false" outlineLevel="0" collapsed="false">
      <c r="A85" s="4" t="n">
        <v>2018</v>
      </c>
      <c r="B85" s="4" t="n">
        <v>6</v>
      </c>
      <c r="C85" s="8" t="s">
        <v>38</v>
      </c>
      <c r="D85" s="8" t="s">
        <v>72</v>
      </c>
      <c r="E85" s="4" t="n">
        <v>25</v>
      </c>
    </row>
    <row r="86" customFormat="false" ht="15" hidden="false" customHeight="false" outlineLevel="0" collapsed="false">
      <c r="A86" s="4" t="n">
        <v>2018</v>
      </c>
      <c r="B86" s="4" t="n">
        <v>7</v>
      </c>
      <c r="C86" s="8" t="s">
        <v>38</v>
      </c>
      <c r="D86" s="4" t="s">
        <v>86</v>
      </c>
      <c r="E86" s="4"/>
    </row>
    <row r="87" customFormat="false" ht="15" hidden="false" customHeight="false" outlineLevel="0" collapsed="false">
      <c r="A87" s="4" t="n">
        <v>2018</v>
      </c>
      <c r="B87" s="4" t="n">
        <v>8</v>
      </c>
      <c r="C87" s="8" t="s">
        <v>38</v>
      </c>
      <c r="D87" s="8" t="s">
        <v>39</v>
      </c>
      <c r="E87" s="4"/>
    </row>
    <row r="88" customFormat="false" ht="15" hidden="false" customHeight="false" outlineLevel="0" collapsed="false">
      <c r="A88" s="4" t="n">
        <v>2018</v>
      </c>
      <c r="B88" s="4" t="n">
        <v>9</v>
      </c>
      <c r="C88" s="8" t="s">
        <v>38</v>
      </c>
      <c r="D88" s="4" t="s">
        <v>46</v>
      </c>
      <c r="E88" s="4" t="n">
        <v>10</v>
      </c>
    </row>
    <row r="89" customFormat="false" ht="15" hidden="false" customHeight="false" outlineLevel="0" collapsed="false">
      <c r="A89" s="4" t="n">
        <v>2018</v>
      </c>
      <c r="B89" s="4" t="n">
        <v>10</v>
      </c>
      <c r="C89" s="8" t="s">
        <v>38</v>
      </c>
      <c r="D89" s="4" t="s">
        <v>47</v>
      </c>
      <c r="E89" s="4" t="n">
        <v>11</v>
      </c>
    </row>
    <row r="90" customFormat="false" ht="15" hidden="false" customHeight="false" outlineLevel="0" collapsed="false">
      <c r="A90" s="4" t="n">
        <v>2018</v>
      </c>
      <c r="B90" s="4" t="n">
        <v>11</v>
      </c>
      <c r="C90" s="8" t="s">
        <v>38</v>
      </c>
      <c r="D90" s="4" t="s">
        <v>103</v>
      </c>
      <c r="E90" s="4"/>
    </row>
    <row r="91" customFormat="false" ht="15" hidden="false" customHeight="false" outlineLevel="0" collapsed="false">
      <c r="A91" s="4" t="n">
        <v>2018</v>
      </c>
      <c r="B91" s="4" t="n">
        <v>12</v>
      </c>
      <c r="C91" s="8" t="s">
        <v>38</v>
      </c>
      <c r="D91" s="4" t="s">
        <v>48</v>
      </c>
      <c r="E91" s="4" t="n">
        <v>26</v>
      </c>
    </row>
    <row r="92" customFormat="false" ht="15" hidden="false" customHeight="false" outlineLevel="0" collapsed="false">
      <c r="A92" s="4" t="n">
        <v>2018</v>
      </c>
      <c r="B92" s="4" t="n">
        <v>13</v>
      </c>
      <c r="C92" s="8" t="s">
        <v>50</v>
      </c>
      <c r="D92" s="4" t="s">
        <v>85</v>
      </c>
      <c r="E92" s="4" t="n">
        <v>27</v>
      </c>
    </row>
    <row r="93" customFormat="false" ht="15" hidden="false" customHeight="false" outlineLevel="0" collapsed="false">
      <c r="A93" s="4" t="n">
        <v>2018</v>
      </c>
      <c r="B93" s="4" t="n">
        <v>14</v>
      </c>
      <c r="C93" s="8" t="s">
        <v>52</v>
      </c>
      <c r="D93" s="4" t="s">
        <v>86</v>
      </c>
      <c r="E93" s="4"/>
    </row>
    <row r="94" customFormat="false" ht="15" hidden="false" customHeight="false" outlineLevel="0" collapsed="false">
      <c r="A94" s="4" t="n">
        <v>2018</v>
      </c>
      <c r="B94" s="4" t="n">
        <v>15</v>
      </c>
      <c r="C94" s="8" t="s">
        <v>52</v>
      </c>
      <c r="D94" s="8" t="s">
        <v>104</v>
      </c>
      <c r="E94" s="4" t="n">
        <v>5</v>
      </c>
    </row>
    <row r="95" customFormat="false" ht="15" hidden="false" customHeight="false" outlineLevel="0" collapsed="false">
      <c r="A95" s="4" t="n">
        <v>2018</v>
      </c>
      <c r="B95" s="4" t="n">
        <v>16</v>
      </c>
      <c r="C95" s="8" t="s">
        <v>78</v>
      </c>
      <c r="D95" s="8" t="s">
        <v>93</v>
      </c>
      <c r="E95" s="4"/>
    </row>
    <row r="96" customFormat="false" ht="15" hidden="false" customHeight="false" outlineLevel="0" collapsed="false">
      <c r="A96" s="4" t="n">
        <v>2018</v>
      </c>
      <c r="B96" s="4" t="n">
        <v>17</v>
      </c>
      <c r="C96" s="8" t="s">
        <v>78</v>
      </c>
      <c r="D96" s="8" t="s">
        <v>93</v>
      </c>
      <c r="E96" s="4"/>
    </row>
    <row r="97" customFormat="false" ht="15" hidden="false" customHeight="false" outlineLevel="0" collapsed="false">
      <c r="A97" s="4" t="n">
        <v>2018</v>
      </c>
      <c r="B97" s="4" t="n">
        <v>18</v>
      </c>
      <c r="C97" s="8" t="s">
        <v>44</v>
      </c>
      <c r="D97" s="4" t="s">
        <v>83</v>
      </c>
      <c r="E97" s="4"/>
    </row>
    <row r="98" customFormat="false" ht="15" hidden="false" customHeight="false" outlineLevel="0" collapsed="false">
      <c r="A98" s="4" t="n">
        <v>2018</v>
      </c>
      <c r="B98" s="4" t="n">
        <v>19</v>
      </c>
      <c r="C98" s="8" t="s">
        <v>56</v>
      </c>
      <c r="D98" s="4" t="s">
        <v>59</v>
      </c>
      <c r="E98" s="4"/>
    </row>
    <row r="99" customFormat="false" ht="15" hidden="false" customHeight="false" outlineLevel="0" collapsed="false">
      <c r="A99" s="4" t="n">
        <v>2018</v>
      </c>
      <c r="B99" s="4" t="n">
        <v>20</v>
      </c>
      <c r="C99" s="8" t="s">
        <v>44</v>
      </c>
      <c r="D99" s="4" t="s">
        <v>105</v>
      </c>
      <c r="E99" s="4"/>
    </row>
    <row r="100" customFormat="false" ht="15" hidden="false" customHeight="false" outlineLevel="0" collapsed="false">
      <c r="A100" s="4" t="n">
        <v>2018</v>
      </c>
      <c r="B100" s="4" t="n">
        <v>21</v>
      </c>
      <c r="C100" s="8" t="s">
        <v>60</v>
      </c>
      <c r="D100" s="4" t="s">
        <v>106</v>
      </c>
      <c r="E100" s="4"/>
    </row>
    <row r="101" customFormat="false" ht="15" hidden="false" customHeight="false" outlineLevel="0" collapsed="false">
      <c r="A101" s="4" t="n">
        <v>2018</v>
      </c>
      <c r="B101" s="4" t="n">
        <v>22</v>
      </c>
      <c r="C101" s="8" t="s">
        <v>44</v>
      </c>
      <c r="D101" s="4" t="s">
        <v>83</v>
      </c>
      <c r="E101" s="4" t="n">
        <v>17</v>
      </c>
    </row>
    <row r="102" customFormat="false" ht="15" hidden="false" customHeight="false" outlineLevel="0" collapsed="false">
      <c r="A102" s="4" t="n">
        <v>2018</v>
      </c>
      <c r="B102" s="4" t="n">
        <v>23</v>
      </c>
      <c r="C102" s="8" t="s">
        <v>64</v>
      </c>
      <c r="D102" s="8" t="s">
        <v>67</v>
      </c>
      <c r="E102" s="4" t="n">
        <v>28</v>
      </c>
    </row>
    <row r="103" customFormat="false" ht="15" hidden="false" customHeight="false" outlineLevel="0" collapsed="false">
      <c r="A103" s="4" t="n">
        <v>2018</v>
      </c>
      <c r="B103" s="4" t="n">
        <v>24</v>
      </c>
      <c r="C103" s="8" t="s">
        <v>64</v>
      </c>
      <c r="D103" s="4" t="s">
        <v>107</v>
      </c>
      <c r="E103" s="4"/>
    </row>
    <row r="104" customFormat="false" ht="15" hidden="false" customHeight="false" outlineLevel="0" collapsed="false">
      <c r="A104" s="4" t="n">
        <v>2018</v>
      </c>
      <c r="B104" s="4" t="n">
        <v>25</v>
      </c>
      <c r="C104" s="8" t="s">
        <v>64</v>
      </c>
      <c r="D104" s="8" t="s">
        <v>67</v>
      </c>
      <c r="E104" s="4"/>
    </row>
    <row r="105" customFormat="false" ht="15" hidden="false" customHeight="false" outlineLevel="0" collapsed="false">
      <c r="A105" s="4" t="n">
        <v>2019</v>
      </c>
      <c r="B105" s="4" t="n">
        <v>1</v>
      </c>
      <c r="C105" s="8" t="s">
        <v>38</v>
      </c>
      <c r="D105" s="8" t="s">
        <v>68</v>
      </c>
      <c r="E105" s="4" t="n">
        <v>29</v>
      </c>
    </row>
    <row r="106" customFormat="false" ht="15" hidden="false" customHeight="false" outlineLevel="0" collapsed="false">
      <c r="A106" s="4" t="n">
        <v>2019</v>
      </c>
      <c r="B106" s="4" t="n">
        <v>2</v>
      </c>
      <c r="C106" s="8" t="s">
        <v>38</v>
      </c>
      <c r="D106" s="4" t="s">
        <v>69</v>
      </c>
      <c r="E106" s="4" t="n">
        <v>15</v>
      </c>
    </row>
    <row r="107" customFormat="false" ht="15" hidden="false" customHeight="false" outlineLevel="0" collapsed="false">
      <c r="A107" s="4" t="n">
        <v>2019</v>
      </c>
      <c r="B107" s="4" t="n">
        <v>3</v>
      </c>
      <c r="C107" s="8" t="s">
        <v>38</v>
      </c>
      <c r="D107" s="4" t="s">
        <v>43</v>
      </c>
      <c r="E107" s="4" t="n">
        <v>1</v>
      </c>
    </row>
    <row r="108" customFormat="false" ht="15" hidden="false" customHeight="false" outlineLevel="0" collapsed="false">
      <c r="A108" s="4" t="n">
        <v>2019</v>
      </c>
      <c r="B108" s="4" t="n">
        <v>4</v>
      </c>
      <c r="C108" s="8" t="s">
        <v>38</v>
      </c>
      <c r="D108" s="8" t="s">
        <v>108</v>
      </c>
      <c r="E108" s="4" t="n">
        <v>30</v>
      </c>
    </row>
    <row r="109" customFormat="false" ht="15" hidden="false" customHeight="false" outlineLevel="0" collapsed="false">
      <c r="A109" s="4" t="n">
        <v>2019</v>
      </c>
      <c r="B109" s="4" t="n">
        <v>5</v>
      </c>
      <c r="C109" s="8" t="s">
        <v>38</v>
      </c>
      <c r="D109" s="4" t="s">
        <v>103</v>
      </c>
      <c r="E109" s="4"/>
    </row>
    <row r="110" customFormat="false" ht="15" hidden="false" customHeight="false" outlineLevel="0" collapsed="false">
      <c r="A110" s="4" t="n">
        <v>2019</v>
      </c>
      <c r="B110" s="4" t="n">
        <v>6</v>
      </c>
      <c r="C110" s="8" t="s">
        <v>109</v>
      </c>
      <c r="D110" s="4" t="s">
        <v>110</v>
      </c>
      <c r="E110" s="4"/>
    </row>
    <row r="111" customFormat="false" ht="15" hidden="false" customHeight="false" outlineLevel="0" collapsed="false">
      <c r="A111" s="4" t="n">
        <v>2019</v>
      </c>
      <c r="B111" s="4" t="n">
        <v>7</v>
      </c>
      <c r="C111" s="8" t="s">
        <v>38</v>
      </c>
      <c r="D111" s="4" t="s">
        <v>46</v>
      </c>
      <c r="E111" s="4"/>
    </row>
    <row r="112" customFormat="false" ht="15" hidden="false" customHeight="false" outlineLevel="0" collapsed="false">
      <c r="A112" s="4" t="n">
        <v>2019</v>
      </c>
      <c r="B112" s="4" t="n">
        <v>8</v>
      </c>
      <c r="C112" s="8" t="s">
        <v>38</v>
      </c>
      <c r="D112" s="4" t="s">
        <v>111</v>
      </c>
      <c r="E112" s="4" t="n">
        <v>31</v>
      </c>
    </row>
    <row r="113" customFormat="false" ht="15" hidden="false" customHeight="false" outlineLevel="0" collapsed="false">
      <c r="A113" s="4" t="n">
        <v>2019</v>
      </c>
      <c r="B113" s="4" t="n">
        <v>9</v>
      </c>
      <c r="C113" s="8" t="s">
        <v>38</v>
      </c>
      <c r="D113" s="4" t="s">
        <v>112</v>
      </c>
      <c r="E113" s="4"/>
    </row>
    <row r="114" customFormat="false" ht="15" hidden="false" customHeight="false" outlineLevel="0" collapsed="false">
      <c r="A114" s="4" t="n">
        <v>2019</v>
      </c>
      <c r="B114" s="4" t="n">
        <v>10</v>
      </c>
      <c r="C114" s="8" t="s">
        <v>38</v>
      </c>
      <c r="D114" s="8" t="s">
        <v>39</v>
      </c>
      <c r="E114" s="4"/>
    </row>
    <row r="115" customFormat="false" ht="15" hidden="false" customHeight="false" outlineLevel="0" collapsed="false">
      <c r="A115" s="4" t="n">
        <v>2019</v>
      </c>
      <c r="B115" s="4" t="n">
        <v>11</v>
      </c>
      <c r="C115" s="8" t="s">
        <v>38</v>
      </c>
      <c r="D115" s="4" t="s">
        <v>74</v>
      </c>
      <c r="E115" s="4" t="n">
        <v>32</v>
      </c>
    </row>
    <row r="116" customFormat="false" ht="15" hidden="false" customHeight="false" outlineLevel="0" collapsed="false">
      <c r="A116" s="4" t="n">
        <v>2019</v>
      </c>
      <c r="B116" s="4" t="n">
        <v>12</v>
      </c>
      <c r="C116" s="8" t="s">
        <v>38</v>
      </c>
      <c r="D116" s="8" t="s">
        <v>113</v>
      </c>
      <c r="E116" s="4" t="n">
        <v>33</v>
      </c>
    </row>
    <row r="117" customFormat="false" ht="15" hidden="false" customHeight="false" outlineLevel="0" collapsed="false">
      <c r="A117" s="4" t="n">
        <v>2019</v>
      </c>
      <c r="B117" s="4" t="n">
        <v>13</v>
      </c>
      <c r="C117" s="8" t="s">
        <v>50</v>
      </c>
      <c r="D117" s="4" t="s">
        <v>85</v>
      </c>
      <c r="E117" s="4"/>
    </row>
    <row r="118" customFormat="false" ht="15" hidden="false" customHeight="false" outlineLevel="0" collapsed="false">
      <c r="A118" s="4" t="n">
        <v>2019</v>
      </c>
      <c r="B118" s="4" t="n">
        <v>14</v>
      </c>
      <c r="C118" s="8" t="s">
        <v>38</v>
      </c>
      <c r="D118" s="8" t="s">
        <v>40</v>
      </c>
      <c r="E118" s="4"/>
    </row>
    <row r="119" customFormat="false" ht="15" hidden="false" customHeight="false" outlineLevel="0" collapsed="false">
      <c r="A119" s="4" t="n">
        <v>2019</v>
      </c>
      <c r="B119" s="4" t="n">
        <v>15</v>
      </c>
      <c r="C119" s="8" t="s">
        <v>52</v>
      </c>
      <c r="D119" s="4" t="s">
        <v>94</v>
      </c>
      <c r="E119" s="4"/>
    </row>
    <row r="120" customFormat="false" ht="15" hidden="false" customHeight="false" outlineLevel="0" collapsed="false">
      <c r="A120" s="4" t="n">
        <v>2019</v>
      </c>
      <c r="B120" s="4" t="n">
        <v>16</v>
      </c>
      <c r="C120" s="8" t="s">
        <v>52</v>
      </c>
      <c r="D120" s="4" t="s">
        <v>94</v>
      </c>
      <c r="E120" s="4" t="n">
        <v>22</v>
      </c>
    </row>
    <row r="121" customFormat="false" ht="15" hidden="false" customHeight="false" outlineLevel="0" collapsed="false">
      <c r="A121" s="4" t="n">
        <v>2019</v>
      </c>
      <c r="B121" s="4" t="n">
        <v>17</v>
      </c>
      <c r="C121" s="8" t="s">
        <v>78</v>
      </c>
      <c r="D121" s="8" t="s">
        <v>113</v>
      </c>
      <c r="E121" s="4"/>
    </row>
    <row r="122" customFormat="false" ht="15" hidden="false" customHeight="false" outlineLevel="0" collapsed="false">
      <c r="A122" s="4" t="n">
        <v>2019</v>
      </c>
      <c r="B122" s="4" t="n">
        <v>18</v>
      </c>
      <c r="C122" s="8" t="s">
        <v>56</v>
      </c>
      <c r="D122" s="8" t="s">
        <v>96</v>
      </c>
      <c r="E122" s="4"/>
    </row>
    <row r="123" customFormat="false" ht="15" hidden="false" customHeight="false" outlineLevel="0" collapsed="false">
      <c r="A123" s="4" t="n">
        <v>2019</v>
      </c>
      <c r="B123" s="4" t="n">
        <v>19</v>
      </c>
      <c r="C123" s="8" t="s">
        <v>56</v>
      </c>
      <c r="D123" s="4" t="s">
        <v>57</v>
      </c>
      <c r="E123" s="4"/>
    </row>
    <row r="124" customFormat="false" ht="15" hidden="false" customHeight="false" outlineLevel="0" collapsed="false">
      <c r="A124" s="4" t="n">
        <v>2019</v>
      </c>
      <c r="B124" s="4" t="n">
        <v>20</v>
      </c>
      <c r="C124" s="8" t="s">
        <v>44</v>
      </c>
      <c r="D124" s="4" t="s">
        <v>80</v>
      </c>
      <c r="E124" s="4"/>
    </row>
    <row r="125" customFormat="false" ht="15" hidden="false" customHeight="false" outlineLevel="0" collapsed="false">
      <c r="A125" s="4" t="n">
        <v>2019</v>
      </c>
      <c r="B125" s="4" t="n">
        <v>21</v>
      </c>
      <c r="C125" s="8" t="s">
        <v>60</v>
      </c>
      <c r="D125" s="4" t="s">
        <v>106</v>
      </c>
      <c r="E125" s="4"/>
    </row>
    <row r="126" customFormat="false" ht="15" hidden="false" customHeight="false" outlineLevel="0" collapsed="false">
      <c r="A126" s="4" t="n">
        <v>2019</v>
      </c>
      <c r="B126" s="4" t="n">
        <v>22</v>
      </c>
      <c r="C126" s="8" t="s">
        <v>62</v>
      </c>
      <c r="D126" s="8" t="s">
        <v>98</v>
      </c>
      <c r="E126" s="4" t="n">
        <v>2</v>
      </c>
    </row>
    <row r="127" customFormat="false" ht="15" hidden="false" customHeight="false" outlineLevel="0" collapsed="false">
      <c r="A127" s="4" t="n">
        <v>2019</v>
      </c>
      <c r="B127" s="4" t="n">
        <v>23</v>
      </c>
      <c r="C127" s="8" t="s">
        <v>64</v>
      </c>
      <c r="D127" s="4" t="s">
        <v>66</v>
      </c>
      <c r="E127" s="4" t="n">
        <v>3</v>
      </c>
    </row>
    <row r="128" customFormat="false" ht="15" hidden="false" customHeight="false" outlineLevel="0" collapsed="false">
      <c r="A128" s="4" t="n">
        <v>2019</v>
      </c>
      <c r="B128" s="4" t="n">
        <v>24</v>
      </c>
      <c r="C128" s="8" t="s">
        <v>64</v>
      </c>
      <c r="D128" s="4" t="s">
        <v>84</v>
      </c>
      <c r="E128" s="4" t="n">
        <v>34</v>
      </c>
    </row>
    <row r="129" customFormat="false" ht="15" hidden="false" customHeight="false" outlineLevel="0" collapsed="false">
      <c r="A129" s="4" t="n">
        <v>2019</v>
      </c>
      <c r="B129" s="4" t="n">
        <v>25</v>
      </c>
      <c r="C129" s="8" t="s">
        <v>64</v>
      </c>
      <c r="D129" s="4" t="s">
        <v>114</v>
      </c>
      <c r="E129" s="4"/>
    </row>
    <row r="130" customFormat="false" ht="15" hidden="false" customHeight="false" outlineLevel="0" collapsed="false">
      <c r="A130" s="4" t="n">
        <v>2021</v>
      </c>
      <c r="B130" s="4" t="n">
        <v>1</v>
      </c>
      <c r="C130" s="8" t="s">
        <v>38</v>
      </c>
      <c r="D130" s="4" t="s">
        <v>102</v>
      </c>
      <c r="E130" s="4" t="n">
        <v>35</v>
      </c>
    </row>
    <row r="131" customFormat="false" ht="15" hidden="false" customHeight="false" outlineLevel="0" collapsed="false">
      <c r="A131" s="4" t="n">
        <v>2021</v>
      </c>
      <c r="B131" s="4" t="n">
        <v>2</v>
      </c>
      <c r="C131" s="8" t="s">
        <v>38</v>
      </c>
      <c r="D131" s="4" t="s">
        <v>115</v>
      </c>
      <c r="E131" s="4"/>
    </row>
    <row r="132" customFormat="false" ht="15" hidden="false" customHeight="false" outlineLevel="0" collapsed="false">
      <c r="A132" s="4" t="n">
        <v>2021</v>
      </c>
      <c r="B132" s="4" t="n">
        <v>3</v>
      </c>
      <c r="C132" s="8" t="s">
        <v>38</v>
      </c>
      <c r="D132" s="4" t="s">
        <v>116</v>
      </c>
      <c r="E132" s="4"/>
    </row>
    <row r="133" customFormat="false" ht="15" hidden="false" customHeight="false" outlineLevel="0" collapsed="false">
      <c r="A133" s="4" t="n">
        <v>2021</v>
      </c>
      <c r="B133" s="4" t="n">
        <v>4</v>
      </c>
      <c r="C133" s="8" t="s">
        <v>38</v>
      </c>
      <c r="D133" s="4" t="s">
        <v>89</v>
      </c>
      <c r="E133" s="4" t="n">
        <v>20</v>
      </c>
    </row>
    <row r="134" customFormat="false" ht="15" hidden="false" customHeight="false" outlineLevel="0" collapsed="false">
      <c r="A134" s="4" t="n">
        <v>2021</v>
      </c>
      <c r="B134" s="4" t="n">
        <v>5</v>
      </c>
      <c r="C134" s="8" t="s">
        <v>38</v>
      </c>
      <c r="D134" s="4" t="s">
        <v>117</v>
      </c>
      <c r="E134" s="4"/>
    </row>
    <row r="135" customFormat="false" ht="15" hidden="false" customHeight="false" outlineLevel="0" collapsed="false">
      <c r="A135" s="4" t="n">
        <v>2021</v>
      </c>
      <c r="B135" s="4" t="n">
        <v>6</v>
      </c>
      <c r="C135" s="8" t="s">
        <v>38</v>
      </c>
      <c r="D135" s="4" t="s">
        <v>118</v>
      </c>
      <c r="E135" s="4"/>
    </row>
    <row r="136" customFormat="false" ht="15" hidden="false" customHeight="false" outlineLevel="0" collapsed="false">
      <c r="A136" s="4" t="n">
        <v>2021</v>
      </c>
      <c r="B136" s="4" t="n">
        <v>7</v>
      </c>
      <c r="C136" s="8" t="s">
        <v>38</v>
      </c>
      <c r="D136" s="4" t="s">
        <v>46</v>
      </c>
      <c r="E136" s="4"/>
    </row>
    <row r="137" customFormat="false" ht="15" hidden="false" customHeight="false" outlineLevel="0" collapsed="false">
      <c r="A137" s="4" t="n">
        <v>2021</v>
      </c>
      <c r="B137" s="4" t="n">
        <v>8</v>
      </c>
      <c r="C137" s="8" t="s">
        <v>38</v>
      </c>
      <c r="D137" s="4" t="s">
        <v>103</v>
      </c>
      <c r="E137" s="4" t="n">
        <v>36</v>
      </c>
    </row>
    <row r="138" customFormat="false" ht="15" hidden="false" customHeight="false" outlineLevel="0" collapsed="false">
      <c r="A138" s="4" t="n">
        <v>2021</v>
      </c>
      <c r="B138" s="4" t="n">
        <v>9</v>
      </c>
      <c r="C138" s="8" t="s">
        <v>38</v>
      </c>
      <c r="D138" s="4" t="s">
        <v>48</v>
      </c>
      <c r="E138" s="4" t="n">
        <v>26</v>
      </c>
    </row>
    <row r="139" customFormat="false" ht="15" hidden="false" customHeight="false" outlineLevel="0" collapsed="false">
      <c r="A139" s="4" t="n">
        <v>2021</v>
      </c>
      <c r="B139" s="4" t="n">
        <v>10</v>
      </c>
      <c r="C139" s="8" t="s">
        <v>38</v>
      </c>
      <c r="D139" s="8" t="s">
        <v>72</v>
      </c>
      <c r="E139" s="4"/>
    </row>
    <row r="140" customFormat="false" ht="15" hidden="false" customHeight="false" outlineLevel="0" collapsed="false">
      <c r="A140" s="4" t="n">
        <v>2021</v>
      </c>
      <c r="B140" s="4" t="n">
        <v>11</v>
      </c>
      <c r="C140" s="8" t="s">
        <v>38</v>
      </c>
      <c r="D140" s="4" t="s">
        <v>48</v>
      </c>
      <c r="E140" s="4"/>
    </row>
    <row r="141" customFormat="false" ht="15" hidden="false" customHeight="false" outlineLevel="0" collapsed="false">
      <c r="A141" s="4" t="n">
        <v>2021</v>
      </c>
      <c r="B141" s="4" t="n">
        <v>12</v>
      </c>
      <c r="C141" s="8" t="s">
        <v>50</v>
      </c>
      <c r="D141" s="4" t="s">
        <v>119</v>
      </c>
      <c r="E141" s="4"/>
    </row>
    <row r="142" customFormat="false" ht="15" hidden="false" customHeight="false" outlineLevel="0" collapsed="false">
      <c r="A142" s="4" t="n">
        <v>2021</v>
      </c>
      <c r="B142" s="4" t="n">
        <v>13</v>
      </c>
      <c r="C142" s="8" t="s">
        <v>78</v>
      </c>
      <c r="D142" s="4" t="s">
        <v>115</v>
      </c>
      <c r="E142" s="4"/>
    </row>
    <row r="143" customFormat="false" ht="15" hidden="false" customHeight="false" outlineLevel="0" collapsed="false">
      <c r="A143" s="4" t="n">
        <v>2021</v>
      </c>
      <c r="B143" s="4" t="n">
        <v>14</v>
      </c>
      <c r="C143" s="8" t="s">
        <v>38</v>
      </c>
      <c r="D143" s="4" t="s">
        <v>86</v>
      </c>
      <c r="E143" s="4" t="n">
        <v>37</v>
      </c>
    </row>
    <row r="144" customFormat="false" ht="15" hidden="false" customHeight="false" outlineLevel="0" collapsed="false">
      <c r="A144" s="4" t="n">
        <v>2021</v>
      </c>
      <c r="B144" s="4" t="n">
        <v>15</v>
      </c>
      <c r="C144" s="8" t="s">
        <v>52</v>
      </c>
      <c r="D144" s="8" t="s">
        <v>104</v>
      </c>
      <c r="E144" s="4" t="n">
        <v>5</v>
      </c>
    </row>
    <row r="145" customFormat="false" ht="15" hidden="false" customHeight="false" outlineLevel="0" collapsed="false">
      <c r="A145" s="4" t="n">
        <v>2021</v>
      </c>
      <c r="B145" s="4" t="n">
        <v>16</v>
      </c>
      <c r="C145" s="8" t="s">
        <v>78</v>
      </c>
      <c r="D145" s="4" t="s">
        <v>115</v>
      </c>
      <c r="E145" s="4"/>
    </row>
    <row r="146" customFormat="false" ht="15" hidden="false" customHeight="false" outlineLevel="0" collapsed="false">
      <c r="A146" s="4" t="n">
        <v>2021</v>
      </c>
      <c r="B146" s="4" t="n">
        <v>17</v>
      </c>
      <c r="C146" s="8" t="s">
        <v>64</v>
      </c>
      <c r="D146" s="8" t="s">
        <v>67</v>
      </c>
      <c r="E146" s="4" t="n">
        <v>28</v>
      </c>
    </row>
    <row r="147" customFormat="false" ht="15" hidden="false" customHeight="false" outlineLevel="0" collapsed="false">
      <c r="A147" s="4" t="n">
        <v>2021</v>
      </c>
      <c r="B147" s="4" t="n">
        <v>18</v>
      </c>
      <c r="C147" s="8" t="s">
        <v>64</v>
      </c>
      <c r="D147" s="4" t="s">
        <v>66</v>
      </c>
      <c r="E147" s="4" t="n">
        <v>38</v>
      </c>
    </row>
    <row r="148" customFormat="false" ht="15" hidden="false" customHeight="false" outlineLevel="0" collapsed="false">
      <c r="A148" s="4" t="n">
        <v>2021</v>
      </c>
      <c r="B148" s="4" t="n">
        <v>19</v>
      </c>
      <c r="C148" s="8" t="s">
        <v>64</v>
      </c>
      <c r="D148" s="8" t="s">
        <v>120</v>
      </c>
      <c r="E148" s="4"/>
    </row>
    <row r="149" customFormat="false" ht="15" hidden="false" customHeight="false" outlineLevel="0" collapsed="false">
      <c r="A149" s="4" t="n">
        <v>2021</v>
      </c>
      <c r="B149" s="4" t="n">
        <v>20</v>
      </c>
      <c r="C149" s="8" t="s">
        <v>64</v>
      </c>
      <c r="D149" s="4" t="s">
        <v>99</v>
      </c>
      <c r="E149" s="4" t="n">
        <v>4</v>
      </c>
    </row>
    <row r="150" customFormat="false" ht="15" hidden="false" customHeight="false" outlineLevel="0" collapsed="false">
      <c r="A150" s="4" t="n">
        <v>2021</v>
      </c>
      <c r="B150" s="4" t="n">
        <v>21</v>
      </c>
      <c r="C150" s="8" t="s">
        <v>56</v>
      </c>
      <c r="D150" s="8" t="s">
        <v>96</v>
      </c>
      <c r="E150" s="4"/>
    </row>
    <row r="151" customFormat="false" ht="15" hidden="false" customHeight="false" outlineLevel="0" collapsed="false">
      <c r="A151" s="4" t="n">
        <v>2021</v>
      </c>
      <c r="B151" s="4" t="n">
        <v>22</v>
      </c>
      <c r="C151" s="8" t="s">
        <v>44</v>
      </c>
      <c r="D151" s="4" t="s">
        <v>83</v>
      </c>
      <c r="E151" s="4"/>
    </row>
    <row r="152" customFormat="false" ht="15" hidden="false" customHeight="false" outlineLevel="0" collapsed="false">
      <c r="A152" s="4" t="n">
        <v>2021</v>
      </c>
      <c r="B152" s="4" t="n">
        <v>23</v>
      </c>
      <c r="C152" s="8" t="s">
        <v>44</v>
      </c>
      <c r="D152" s="4" t="s">
        <v>58</v>
      </c>
      <c r="E152" s="4" t="n">
        <v>14</v>
      </c>
    </row>
    <row r="153" customFormat="false" ht="15" hidden="false" customHeight="false" outlineLevel="0" collapsed="false">
      <c r="A153" s="4" t="n">
        <v>2021</v>
      </c>
      <c r="B153" s="4" t="n">
        <v>24</v>
      </c>
      <c r="C153" s="8" t="s">
        <v>60</v>
      </c>
      <c r="D153" s="4" t="s">
        <v>121</v>
      </c>
      <c r="E153" s="4"/>
    </row>
    <row r="154" customFormat="false" ht="15" hidden="false" customHeight="false" outlineLevel="0" collapsed="false">
      <c r="A154" s="4" t="n">
        <v>2021</v>
      </c>
      <c r="B154" s="4" t="n">
        <v>25</v>
      </c>
      <c r="C154" s="8" t="s">
        <v>62</v>
      </c>
      <c r="D154" s="8" t="s">
        <v>122</v>
      </c>
      <c r="E154" s="4"/>
    </row>
    <row r="155" customFormat="false" ht="15" hidden="false" customHeight="false" outlineLevel="0" collapsed="false">
      <c r="A155" s="4" t="n">
        <v>2022</v>
      </c>
      <c r="B155" s="4" t="n">
        <v>1</v>
      </c>
      <c r="C155" s="8" t="s">
        <v>50</v>
      </c>
      <c r="D155" s="4" t="s">
        <v>85</v>
      </c>
      <c r="E155" s="4"/>
    </row>
    <row r="156" customFormat="false" ht="15" hidden="false" customHeight="false" outlineLevel="0" collapsed="false">
      <c r="A156" s="4" t="n">
        <v>2022</v>
      </c>
      <c r="B156" s="4" t="n">
        <v>2</v>
      </c>
      <c r="C156" s="8" t="s">
        <v>38</v>
      </c>
      <c r="D156" s="4" t="s">
        <v>43</v>
      </c>
      <c r="E156" s="4" t="n">
        <v>1</v>
      </c>
    </row>
    <row r="157" customFormat="false" ht="15" hidden="false" customHeight="false" outlineLevel="0" collapsed="false">
      <c r="A157" s="4" t="n">
        <v>2022</v>
      </c>
      <c r="B157" s="4" t="n">
        <v>3</v>
      </c>
      <c r="C157" s="8" t="s">
        <v>38</v>
      </c>
      <c r="D157" s="4" t="s">
        <v>43</v>
      </c>
      <c r="E157" s="4"/>
    </row>
    <row r="158" customFormat="false" ht="15" hidden="false" customHeight="false" outlineLevel="0" collapsed="false">
      <c r="A158" s="4" t="n">
        <v>2022</v>
      </c>
      <c r="B158" s="4" t="n">
        <v>4</v>
      </c>
      <c r="C158" s="8" t="s">
        <v>60</v>
      </c>
      <c r="D158" s="4" t="s">
        <v>123</v>
      </c>
      <c r="E158" s="4" t="n">
        <v>39</v>
      </c>
    </row>
    <row r="159" customFormat="false" ht="15" hidden="false" customHeight="false" outlineLevel="0" collapsed="false">
      <c r="A159" s="4" t="n">
        <v>2022</v>
      </c>
      <c r="B159" s="4" t="n">
        <v>5</v>
      </c>
      <c r="C159" s="8" t="s">
        <v>38</v>
      </c>
      <c r="D159" s="4" t="s">
        <v>43</v>
      </c>
      <c r="E159" s="4" t="n">
        <v>7</v>
      </c>
    </row>
    <row r="160" customFormat="false" ht="15" hidden="false" customHeight="false" outlineLevel="0" collapsed="false">
      <c r="A160" s="4" t="n">
        <v>2022</v>
      </c>
      <c r="B160" s="4" t="n">
        <v>6</v>
      </c>
      <c r="C160" s="8" t="s">
        <v>38</v>
      </c>
      <c r="D160" s="4" t="s">
        <v>71</v>
      </c>
      <c r="E160" s="4" t="n">
        <v>40</v>
      </c>
    </row>
    <row r="161" customFormat="false" ht="15" hidden="false" customHeight="false" outlineLevel="0" collapsed="false">
      <c r="A161" s="4" t="n">
        <v>2022</v>
      </c>
      <c r="B161" s="4" t="n">
        <v>7</v>
      </c>
      <c r="C161" s="8" t="s">
        <v>38</v>
      </c>
      <c r="D161" s="8" t="s">
        <v>68</v>
      </c>
      <c r="E161" s="4"/>
    </row>
    <row r="162" customFormat="false" ht="15" hidden="false" customHeight="false" outlineLevel="0" collapsed="false">
      <c r="A162" s="4" t="n">
        <v>2022</v>
      </c>
      <c r="B162" s="4" t="n">
        <v>8</v>
      </c>
      <c r="C162" s="8" t="s">
        <v>38</v>
      </c>
      <c r="D162" s="4" t="s">
        <v>91</v>
      </c>
      <c r="E162" s="4"/>
    </row>
    <row r="163" customFormat="false" ht="15" hidden="false" customHeight="false" outlineLevel="0" collapsed="false">
      <c r="A163" s="4" t="n">
        <v>2022</v>
      </c>
      <c r="B163" s="4" t="n">
        <v>9</v>
      </c>
      <c r="C163" s="8" t="s">
        <v>38</v>
      </c>
      <c r="D163" s="4" t="s">
        <v>74</v>
      </c>
      <c r="E163" s="4" t="n">
        <v>32</v>
      </c>
    </row>
    <row r="164" customFormat="false" ht="15" hidden="false" customHeight="false" outlineLevel="0" collapsed="false">
      <c r="A164" s="4" t="n">
        <v>2022</v>
      </c>
      <c r="B164" s="4" t="n">
        <v>10</v>
      </c>
      <c r="C164" s="8" t="s">
        <v>38</v>
      </c>
      <c r="D164" s="8" t="s">
        <v>92</v>
      </c>
      <c r="E164" s="4" t="n">
        <v>21</v>
      </c>
    </row>
    <row r="165" customFormat="false" ht="15" hidden="false" customHeight="false" outlineLevel="0" collapsed="false">
      <c r="A165" s="4" t="n">
        <v>2022</v>
      </c>
      <c r="B165" s="4" t="n">
        <v>11</v>
      </c>
      <c r="C165" s="8" t="s">
        <v>38</v>
      </c>
      <c r="D165" s="8" t="s">
        <v>39</v>
      </c>
      <c r="E165" s="4"/>
    </row>
    <row r="166" customFormat="false" ht="15" hidden="false" customHeight="false" outlineLevel="0" collapsed="false">
      <c r="A166" s="4" t="n">
        <v>2022</v>
      </c>
      <c r="B166" s="4" t="n">
        <v>12</v>
      </c>
      <c r="C166" s="8" t="s">
        <v>50</v>
      </c>
      <c r="D166" s="8" t="s">
        <v>39</v>
      </c>
      <c r="E166" s="4"/>
    </row>
    <row r="167" customFormat="false" ht="15" hidden="false" customHeight="false" outlineLevel="0" collapsed="false">
      <c r="A167" s="4" t="n">
        <v>2022</v>
      </c>
      <c r="B167" s="4" t="n">
        <v>13</v>
      </c>
      <c r="C167" s="8" t="s">
        <v>78</v>
      </c>
      <c r="D167" s="8" t="s">
        <v>93</v>
      </c>
      <c r="E167" s="4"/>
    </row>
    <row r="168" customFormat="false" ht="15" hidden="false" customHeight="false" outlineLevel="0" collapsed="false">
      <c r="A168" s="4" t="n">
        <v>2022</v>
      </c>
      <c r="B168" s="4" t="n">
        <v>14</v>
      </c>
      <c r="C168" s="8" t="s">
        <v>38</v>
      </c>
      <c r="D168" s="8" t="s">
        <v>124</v>
      </c>
      <c r="E168" s="4" t="n">
        <v>41</v>
      </c>
    </row>
    <row r="169" customFormat="false" ht="15" hidden="false" customHeight="false" outlineLevel="0" collapsed="false">
      <c r="A169" s="4" t="n">
        <v>2022</v>
      </c>
      <c r="B169" s="4" t="n">
        <v>15</v>
      </c>
      <c r="C169" s="8" t="s">
        <v>52</v>
      </c>
      <c r="D169" s="4" t="s">
        <v>54</v>
      </c>
      <c r="E169" s="4" t="n">
        <v>42</v>
      </c>
    </row>
    <row r="170" customFormat="false" ht="15" hidden="false" customHeight="false" outlineLevel="0" collapsed="false">
      <c r="A170" s="4" t="n">
        <v>2022</v>
      </c>
      <c r="B170" s="4" t="n">
        <v>16</v>
      </c>
      <c r="C170" s="8" t="s">
        <v>64</v>
      </c>
      <c r="D170" s="4" t="s">
        <v>66</v>
      </c>
      <c r="E170" s="4" t="n">
        <v>43</v>
      </c>
    </row>
    <row r="171" customFormat="false" ht="15" hidden="false" customHeight="false" outlineLevel="0" collapsed="false">
      <c r="A171" s="4" t="n">
        <v>2022</v>
      </c>
      <c r="B171" s="4" t="n">
        <v>17</v>
      </c>
      <c r="C171" s="8" t="s">
        <v>64</v>
      </c>
      <c r="D171" s="8" t="s">
        <v>125</v>
      </c>
      <c r="E171" s="4"/>
    </row>
    <row r="172" customFormat="false" ht="15" hidden="false" customHeight="false" outlineLevel="0" collapsed="false">
      <c r="A172" s="4" t="n">
        <v>2022</v>
      </c>
      <c r="B172" s="4" t="n">
        <v>18</v>
      </c>
      <c r="C172" s="8" t="s">
        <v>64</v>
      </c>
      <c r="D172" s="4" t="s">
        <v>84</v>
      </c>
      <c r="E172" s="4"/>
    </row>
    <row r="173" customFormat="false" ht="15" hidden="false" customHeight="false" outlineLevel="0" collapsed="false">
      <c r="A173" s="4" t="n">
        <v>2022</v>
      </c>
      <c r="B173" s="4" t="n">
        <v>19</v>
      </c>
      <c r="C173" s="8" t="s">
        <v>64</v>
      </c>
      <c r="D173" s="4" t="s">
        <v>84</v>
      </c>
      <c r="E173" s="4"/>
    </row>
    <row r="174" customFormat="false" ht="15" hidden="false" customHeight="false" outlineLevel="0" collapsed="false">
      <c r="A174" s="4" t="n">
        <v>2022</v>
      </c>
      <c r="B174" s="4" t="n">
        <v>20</v>
      </c>
      <c r="C174" s="8" t="s">
        <v>64</v>
      </c>
      <c r="D174" s="8" t="s">
        <v>126</v>
      </c>
      <c r="E174" s="4"/>
    </row>
    <row r="175" customFormat="false" ht="15" hidden="false" customHeight="false" outlineLevel="0" collapsed="false">
      <c r="A175" s="4" t="n">
        <v>2022</v>
      </c>
      <c r="B175" s="4" t="n">
        <v>21</v>
      </c>
      <c r="C175" s="8" t="s">
        <v>56</v>
      </c>
      <c r="D175" s="4" t="s">
        <v>127</v>
      </c>
      <c r="E175" s="4"/>
    </row>
    <row r="176" customFormat="false" ht="15" hidden="false" customHeight="false" outlineLevel="0" collapsed="false">
      <c r="A176" s="4" t="n">
        <v>2022</v>
      </c>
      <c r="B176" s="4" t="n">
        <v>22</v>
      </c>
      <c r="C176" s="8" t="s">
        <v>60</v>
      </c>
      <c r="D176" s="8" t="s">
        <v>128</v>
      </c>
      <c r="E176" s="4"/>
    </row>
    <row r="177" customFormat="false" ht="15" hidden="false" customHeight="false" outlineLevel="0" collapsed="false">
      <c r="A177" s="4" t="n">
        <v>2022</v>
      </c>
      <c r="B177" s="4" t="n">
        <v>23</v>
      </c>
      <c r="C177" s="8" t="s">
        <v>44</v>
      </c>
      <c r="D177" s="4" t="s">
        <v>58</v>
      </c>
      <c r="E177" s="4"/>
    </row>
    <row r="178" customFormat="false" ht="15" hidden="false" customHeight="false" outlineLevel="0" collapsed="false">
      <c r="A178" s="4" t="n">
        <v>2022</v>
      </c>
      <c r="B178" s="4" t="n">
        <v>24</v>
      </c>
      <c r="C178" s="8" t="s">
        <v>60</v>
      </c>
      <c r="D178" s="4" t="s">
        <v>82</v>
      </c>
      <c r="E178" s="4"/>
    </row>
    <row r="179" customFormat="false" ht="15" hidden="false" customHeight="false" outlineLevel="0" collapsed="false">
      <c r="A179" s="4" t="n">
        <v>2022</v>
      </c>
      <c r="B179" s="4" t="n">
        <v>25</v>
      </c>
      <c r="C179" s="8" t="s">
        <v>62</v>
      </c>
      <c r="D179" s="8" t="s">
        <v>98</v>
      </c>
      <c r="E179" s="4" t="n">
        <v>2</v>
      </c>
    </row>
    <row r="180" customFormat="false" ht="15" hidden="false" customHeight="false" outlineLevel="0" collapsed="false">
      <c r="A180" s="4" t="n">
        <v>2023</v>
      </c>
      <c r="B180" s="4" t="n">
        <v>1</v>
      </c>
      <c r="C180" s="8" t="s">
        <v>38</v>
      </c>
      <c r="D180" s="4" t="s">
        <v>102</v>
      </c>
      <c r="E180" s="4" t="n">
        <v>35</v>
      </c>
    </row>
    <row r="181" customFormat="false" ht="15" hidden="false" customHeight="false" outlineLevel="0" collapsed="false">
      <c r="A181" s="4" t="n">
        <v>2023</v>
      </c>
      <c r="B181" s="4" t="n">
        <v>2</v>
      </c>
      <c r="C181" s="8" t="s">
        <v>38</v>
      </c>
      <c r="D181" s="8" t="s">
        <v>68</v>
      </c>
      <c r="E181" s="4" t="n">
        <v>29</v>
      </c>
    </row>
    <row r="182" customFormat="false" ht="15" hidden="false" customHeight="false" outlineLevel="0" collapsed="false">
      <c r="A182" s="4" t="n">
        <v>2023</v>
      </c>
      <c r="B182" s="4" t="n">
        <v>3</v>
      </c>
      <c r="C182" s="8" t="s">
        <v>38</v>
      </c>
      <c r="D182" s="8" t="s">
        <v>87</v>
      </c>
      <c r="E182" s="4" t="n">
        <v>19</v>
      </c>
    </row>
    <row r="183" customFormat="false" ht="15" hidden="false" customHeight="false" outlineLevel="0" collapsed="false">
      <c r="A183" s="4" t="n">
        <v>2023</v>
      </c>
      <c r="B183" s="4" t="n">
        <v>4</v>
      </c>
      <c r="C183" s="8" t="s">
        <v>38</v>
      </c>
      <c r="D183" s="4" t="s">
        <v>43</v>
      </c>
      <c r="E183" s="4"/>
    </row>
    <row r="184" customFormat="false" ht="15" hidden="false" customHeight="false" outlineLevel="0" collapsed="false">
      <c r="A184" s="4" t="n">
        <v>2023</v>
      </c>
      <c r="B184" s="4" t="n">
        <v>5</v>
      </c>
      <c r="C184" s="8" t="s">
        <v>38</v>
      </c>
      <c r="D184" s="8" t="s">
        <v>108</v>
      </c>
      <c r="E184" s="4" t="n">
        <v>30</v>
      </c>
    </row>
    <row r="185" customFormat="false" ht="15" hidden="false" customHeight="false" outlineLevel="0" collapsed="false">
      <c r="A185" s="4" t="n">
        <v>2023</v>
      </c>
      <c r="B185" s="4" t="n">
        <v>6</v>
      </c>
      <c r="C185" s="8" t="s">
        <v>38</v>
      </c>
      <c r="D185" s="4" t="s">
        <v>43</v>
      </c>
      <c r="E185" s="4"/>
    </row>
    <row r="186" customFormat="false" ht="15" hidden="false" customHeight="false" outlineLevel="0" collapsed="false">
      <c r="A186" s="4" t="n">
        <v>2023</v>
      </c>
      <c r="B186" s="4" t="n">
        <v>7</v>
      </c>
      <c r="C186" s="8" t="s">
        <v>78</v>
      </c>
      <c r="D186" s="8" t="s">
        <v>113</v>
      </c>
      <c r="E186" s="4" t="n">
        <v>33</v>
      </c>
    </row>
    <row r="187" customFormat="false" ht="15" hidden="false" customHeight="false" outlineLevel="0" collapsed="false">
      <c r="A187" s="4" t="n">
        <v>2023</v>
      </c>
      <c r="B187" s="4" t="n">
        <v>8</v>
      </c>
      <c r="C187" s="8" t="s">
        <v>38</v>
      </c>
      <c r="D187" s="8" t="s">
        <v>72</v>
      </c>
      <c r="E187" s="4" t="n">
        <v>25</v>
      </c>
    </row>
    <row r="188" customFormat="false" ht="15" hidden="false" customHeight="false" outlineLevel="0" collapsed="false">
      <c r="A188" s="4" t="n">
        <v>2023</v>
      </c>
      <c r="B188" s="4" t="n">
        <v>9</v>
      </c>
      <c r="C188" s="8" t="s">
        <v>38</v>
      </c>
      <c r="D188" s="8" t="s">
        <v>40</v>
      </c>
      <c r="E188" s="4"/>
    </row>
    <row r="189" customFormat="false" ht="15" hidden="false" customHeight="false" outlineLevel="0" collapsed="false">
      <c r="A189" s="4" t="n">
        <v>2023</v>
      </c>
      <c r="B189" s="4" t="n">
        <v>10</v>
      </c>
      <c r="C189" s="8" t="s">
        <v>50</v>
      </c>
      <c r="D189" s="4" t="s">
        <v>90</v>
      </c>
      <c r="E189" s="4"/>
    </row>
    <row r="190" customFormat="false" ht="15" hidden="false" customHeight="false" outlineLevel="0" collapsed="false">
      <c r="A190" s="4" t="n">
        <v>2023</v>
      </c>
      <c r="B190" s="4" t="n">
        <v>11</v>
      </c>
      <c r="C190" s="8" t="s">
        <v>38</v>
      </c>
      <c r="D190" s="8" t="s">
        <v>39</v>
      </c>
      <c r="E190" s="4"/>
    </row>
    <row r="191" customFormat="false" ht="15" hidden="false" customHeight="false" outlineLevel="0" collapsed="false">
      <c r="A191" s="4" t="n">
        <v>2023</v>
      </c>
      <c r="B191" s="4" t="n">
        <v>12</v>
      </c>
      <c r="C191" s="8" t="s">
        <v>50</v>
      </c>
      <c r="D191" s="4" t="s">
        <v>85</v>
      </c>
      <c r="E191" s="4" t="n">
        <v>27</v>
      </c>
    </row>
    <row r="192" customFormat="false" ht="15" hidden="false" customHeight="false" outlineLevel="0" collapsed="false">
      <c r="A192" s="4" t="n">
        <v>2023</v>
      </c>
      <c r="B192" s="4" t="n">
        <v>13</v>
      </c>
      <c r="C192" s="8" t="s">
        <v>78</v>
      </c>
      <c r="D192" s="4" t="s">
        <v>129</v>
      </c>
      <c r="E192" s="4"/>
    </row>
    <row r="193" customFormat="false" ht="15" hidden="false" customHeight="false" outlineLevel="0" collapsed="false">
      <c r="A193" s="4" t="n">
        <v>2023</v>
      </c>
      <c r="B193" s="4" t="n">
        <v>14</v>
      </c>
      <c r="C193" s="8" t="s">
        <v>52</v>
      </c>
      <c r="D193" s="8" t="s">
        <v>104</v>
      </c>
      <c r="E193" s="4" t="n">
        <v>5</v>
      </c>
    </row>
    <row r="194" customFormat="false" ht="15" hidden="false" customHeight="false" outlineLevel="0" collapsed="false">
      <c r="A194" s="4" t="n">
        <v>2023</v>
      </c>
      <c r="B194" s="4" t="n">
        <v>15</v>
      </c>
      <c r="C194" s="8" t="s">
        <v>52</v>
      </c>
      <c r="D194" s="4" t="s">
        <v>54</v>
      </c>
      <c r="E194" s="4" t="n">
        <v>0</v>
      </c>
    </row>
    <row r="195" customFormat="false" ht="15" hidden="false" customHeight="false" outlineLevel="0" collapsed="false">
      <c r="A195" s="4" t="n">
        <v>2023</v>
      </c>
      <c r="B195" s="4" t="n">
        <v>16</v>
      </c>
      <c r="C195" s="8" t="s">
        <v>64</v>
      </c>
      <c r="D195" s="4" t="s">
        <v>76</v>
      </c>
      <c r="E195" s="4"/>
    </row>
    <row r="196" customFormat="false" ht="15" hidden="false" customHeight="false" outlineLevel="0" collapsed="false">
      <c r="A196" s="4" t="n">
        <v>2023</v>
      </c>
      <c r="B196" s="4" t="n">
        <v>17</v>
      </c>
      <c r="C196" s="8" t="s">
        <v>64</v>
      </c>
      <c r="D196" s="4" t="s">
        <v>84</v>
      </c>
      <c r="E196" s="4" t="n">
        <v>34</v>
      </c>
    </row>
    <row r="197" customFormat="false" ht="15" hidden="false" customHeight="false" outlineLevel="0" collapsed="false">
      <c r="A197" s="4" t="n">
        <v>2023</v>
      </c>
      <c r="B197" s="4" t="n">
        <v>18</v>
      </c>
      <c r="C197" s="8" t="s">
        <v>64</v>
      </c>
      <c r="D197" s="4" t="s">
        <v>66</v>
      </c>
      <c r="E197" s="4"/>
    </row>
    <row r="198" customFormat="false" ht="15" hidden="false" customHeight="false" outlineLevel="0" collapsed="false">
      <c r="A198" s="4" t="n">
        <v>2023</v>
      </c>
      <c r="B198" s="4" t="n">
        <v>19</v>
      </c>
      <c r="C198" s="8" t="s">
        <v>64</v>
      </c>
      <c r="D198" s="4" t="s">
        <v>99</v>
      </c>
      <c r="E198" s="4"/>
    </row>
    <row r="199" customFormat="false" ht="15" hidden="false" customHeight="false" outlineLevel="0" collapsed="false">
      <c r="A199" s="4" t="n">
        <v>2023</v>
      </c>
      <c r="B199" s="4" t="n">
        <v>20</v>
      </c>
      <c r="C199" s="8" t="s">
        <v>64</v>
      </c>
      <c r="D199" s="4" t="s">
        <v>66</v>
      </c>
      <c r="E199" s="4"/>
    </row>
    <row r="200" customFormat="false" ht="15" hidden="false" customHeight="false" outlineLevel="0" collapsed="false">
      <c r="A200" s="4" t="n">
        <v>2023</v>
      </c>
      <c r="B200" s="4" t="n">
        <v>21</v>
      </c>
      <c r="C200" s="8" t="s">
        <v>56</v>
      </c>
      <c r="D200" s="8" t="s">
        <v>96</v>
      </c>
      <c r="E200" s="4"/>
    </row>
    <row r="201" customFormat="false" ht="15" hidden="false" customHeight="false" outlineLevel="0" collapsed="false">
      <c r="A201" s="4" t="n">
        <v>2023</v>
      </c>
      <c r="B201" s="4" t="n">
        <v>22</v>
      </c>
      <c r="C201" s="8" t="s">
        <v>44</v>
      </c>
      <c r="D201" s="8" t="s">
        <v>97</v>
      </c>
      <c r="E201" s="4" t="n">
        <v>23</v>
      </c>
    </row>
    <row r="202" customFormat="false" ht="15" hidden="false" customHeight="false" outlineLevel="0" collapsed="false">
      <c r="A202" s="4" t="n">
        <v>2023</v>
      </c>
      <c r="B202" s="4" t="n">
        <v>23</v>
      </c>
      <c r="C202" s="8" t="s">
        <v>44</v>
      </c>
      <c r="D202" s="4" t="s">
        <v>130</v>
      </c>
      <c r="E202" s="4"/>
    </row>
    <row r="203" customFormat="false" ht="15" hidden="false" customHeight="false" outlineLevel="0" collapsed="false">
      <c r="A203" s="4" t="n">
        <v>2023</v>
      </c>
      <c r="B203" s="4" t="n">
        <v>24</v>
      </c>
      <c r="C203" s="8" t="s">
        <v>60</v>
      </c>
      <c r="D203" s="4" t="s">
        <v>82</v>
      </c>
      <c r="E203" s="4"/>
    </row>
    <row r="204" customFormat="false" ht="15" hidden="false" customHeight="false" outlineLevel="0" collapsed="false">
      <c r="A204" s="4" t="n">
        <v>2023</v>
      </c>
      <c r="B204" s="4" t="n">
        <v>25</v>
      </c>
      <c r="C204" s="8" t="s">
        <v>62</v>
      </c>
      <c r="D204" s="8" t="s">
        <v>63</v>
      </c>
      <c r="E204" s="4" t="n">
        <v>44</v>
      </c>
    </row>
    <row r="205" customFormat="false" ht="15" hidden="false" customHeight="false" outlineLevel="0" collapsed="false">
      <c r="A205" s="4" t="n">
        <v>2024</v>
      </c>
      <c r="B205" s="4" t="n">
        <v>1</v>
      </c>
      <c r="C205" s="8" t="s">
        <v>50</v>
      </c>
      <c r="D205" s="4" t="s">
        <v>85</v>
      </c>
      <c r="E205" s="4" t="n">
        <v>18</v>
      </c>
    </row>
    <row r="206" customFormat="false" ht="15" hidden="false" customHeight="false" outlineLevel="0" collapsed="false">
      <c r="A206" s="4" t="n">
        <v>2024</v>
      </c>
      <c r="B206" s="4" t="n">
        <v>2</v>
      </c>
      <c r="C206" s="8" t="s">
        <v>60</v>
      </c>
      <c r="D206" s="4" t="s">
        <v>123</v>
      </c>
      <c r="E206" s="4" t="n">
        <v>39</v>
      </c>
    </row>
    <row r="207" customFormat="false" ht="15" hidden="false" customHeight="false" outlineLevel="0" collapsed="false">
      <c r="A207" s="4" t="n">
        <v>2024</v>
      </c>
      <c r="B207" s="4" t="n">
        <v>3</v>
      </c>
      <c r="C207" s="8" t="s">
        <v>38</v>
      </c>
      <c r="D207" s="4" t="s">
        <v>117</v>
      </c>
      <c r="E207" s="4"/>
    </row>
    <row r="208" customFormat="false" ht="15" hidden="false" customHeight="false" outlineLevel="0" collapsed="false">
      <c r="A208" s="4" t="n">
        <v>2024</v>
      </c>
      <c r="B208" s="4" t="n">
        <v>4</v>
      </c>
      <c r="C208" s="8" t="s">
        <v>38</v>
      </c>
      <c r="D208" s="4" t="s">
        <v>43</v>
      </c>
      <c r="E208" s="4" t="n">
        <v>9</v>
      </c>
    </row>
    <row r="209" customFormat="false" ht="15" hidden="false" customHeight="false" outlineLevel="0" collapsed="false">
      <c r="A209" s="4" t="n">
        <v>2024</v>
      </c>
      <c r="B209" s="4" t="n">
        <v>5</v>
      </c>
      <c r="C209" s="8" t="s">
        <v>38</v>
      </c>
      <c r="D209" s="4" t="s">
        <v>71</v>
      </c>
      <c r="E209" s="4" t="n">
        <v>40</v>
      </c>
    </row>
    <row r="210" customFormat="false" ht="15" hidden="false" customHeight="false" outlineLevel="0" collapsed="false">
      <c r="A210" s="4" t="n">
        <v>2024</v>
      </c>
      <c r="B210" s="4" t="n">
        <v>6</v>
      </c>
      <c r="C210" s="8" t="s">
        <v>38</v>
      </c>
      <c r="D210" s="4" t="s">
        <v>111</v>
      </c>
      <c r="E210" s="4" t="n">
        <v>31</v>
      </c>
    </row>
    <row r="211" customFormat="false" ht="15" hidden="false" customHeight="false" outlineLevel="0" collapsed="false">
      <c r="A211" s="4" t="n">
        <v>2024</v>
      </c>
      <c r="B211" s="4" t="n">
        <v>7</v>
      </c>
      <c r="C211" s="8" t="s">
        <v>38</v>
      </c>
      <c r="D211" s="4" t="s">
        <v>131</v>
      </c>
      <c r="E211" s="4"/>
    </row>
    <row r="212" customFormat="false" ht="15" hidden="false" customHeight="false" outlineLevel="0" collapsed="false">
      <c r="A212" s="4" t="n">
        <v>2024</v>
      </c>
      <c r="B212" s="4" t="n">
        <v>8</v>
      </c>
      <c r="C212" s="8" t="s">
        <v>38</v>
      </c>
      <c r="D212" s="4" t="s">
        <v>103</v>
      </c>
      <c r="E212" s="4"/>
    </row>
    <row r="213" customFormat="false" ht="15" hidden="false" customHeight="false" outlineLevel="0" collapsed="false">
      <c r="A213" s="4" t="n">
        <v>2024</v>
      </c>
      <c r="B213" s="4" t="n">
        <v>9</v>
      </c>
      <c r="C213" s="8" t="s">
        <v>38</v>
      </c>
      <c r="D213" s="4" t="s">
        <v>103</v>
      </c>
      <c r="E213" s="4"/>
    </row>
    <row r="214" customFormat="false" ht="15" hidden="false" customHeight="false" outlineLevel="0" collapsed="false">
      <c r="A214" s="4" t="n">
        <v>2024</v>
      </c>
      <c r="B214" s="4" t="n">
        <v>10</v>
      </c>
      <c r="C214" s="8" t="s">
        <v>38</v>
      </c>
      <c r="D214" s="8" t="s">
        <v>39</v>
      </c>
      <c r="E214" s="4"/>
    </row>
    <row r="215" customFormat="false" ht="15" hidden="false" customHeight="false" outlineLevel="0" collapsed="false">
      <c r="A215" s="4" t="n">
        <v>2024</v>
      </c>
      <c r="B215" s="4" t="n">
        <v>11</v>
      </c>
      <c r="C215" s="8" t="s">
        <v>38</v>
      </c>
      <c r="D215" s="8" t="s">
        <v>39</v>
      </c>
      <c r="E215" s="4"/>
    </row>
    <row r="216" customFormat="false" ht="15" hidden="false" customHeight="false" outlineLevel="0" collapsed="false">
      <c r="A216" s="4" t="n">
        <v>2024</v>
      </c>
      <c r="B216" s="4" t="n">
        <v>12</v>
      </c>
      <c r="C216" s="8" t="s">
        <v>50</v>
      </c>
      <c r="D216" s="4" t="s">
        <v>115</v>
      </c>
      <c r="E216" s="4"/>
    </row>
    <row r="217" customFormat="false" ht="15" hidden="false" customHeight="false" outlineLevel="0" collapsed="false">
      <c r="A217" s="4" t="n">
        <v>2024</v>
      </c>
      <c r="B217" s="4" t="n">
        <v>13</v>
      </c>
      <c r="C217" s="8" t="s">
        <v>109</v>
      </c>
      <c r="D217" s="4" t="s">
        <v>115</v>
      </c>
      <c r="E217" s="4"/>
    </row>
    <row r="218" customFormat="false" ht="15" hidden="false" customHeight="false" outlineLevel="0" collapsed="false">
      <c r="A218" s="4" t="n">
        <v>2024</v>
      </c>
      <c r="B218" s="4" t="n">
        <v>14</v>
      </c>
      <c r="C218" s="8" t="s">
        <v>52</v>
      </c>
      <c r="D218" s="8" t="s">
        <v>104</v>
      </c>
      <c r="E218" s="4"/>
    </row>
    <row r="219" customFormat="false" ht="15" hidden="false" customHeight="false" outlineLevel="0" collapsed="false">
      <c r="A219" s="4" t="n">
        <v>2024</v>
      </c>
      <c r="B219" s="4" t="n">
        <v>15</v>
      </c>
      <c r="C219" s="8" t="s">
        <v>38</v>
      </c>
      <c r="D219" s="8" t="s">
        <v>124</v>
      </c>
      <c r="E219" s="4" t="n">
        <v>41</v>
      </c>
    </row>
    <row r="220" customFormat="false" ht="15" hidden="false" customHeight="false" outlineLevel="0" collapsed="false">
      <c r="A220" s="4" t="n">
        <v>2024</v>
      </c>
      <c r="B220" s="4" t="n">
        <v>16</v>
      </c>
      <c r="C220" s="8" t="s">
        <v>64</v>
      </c>
      <c r="D220" s="4" t="s">
        <v>66</v>
      </c>
      <c r="E220" s="4" t="n">
        <v>43</v>
      </c>
    </row>
    <row r="221" customFormat="false" ht="15" hidden="false" customHeight="false" outlineLevel="0" collapsed="false">
      <c r="A221" s="4" t="n">
        <v>2024</v>
      </c>
      <c r="B221" s="4" t="n">
        <v>17</v>
      </c>
      <c r="C221" s="8" t="s">
        <v>64</v>
      </c>
      <c r="D221" s="4" t="s">
        <v>66</v>
      </c>
      <c r="E221" s="4" t="n">
        <v>3</v>
      </c>
    </row>
    <row r="222" customFormat="false" ht="15" hidden="false" customHeight="false" outlineLevel="0" collapsed="false">
      <c r="A222" s="4" t="n">
        <v>2024</v>
      </c>
      <c r="B222" s="4" t="n">
        <v>18</v>
      </c>
      <c r="C222" s="8" t="s">
        <v>64</v>
      </c>
      <c r="D222" s="4" t="s">
        <v>84</v>
      </c>
      <c r="E222" s="4" t="n">
        <v>24</v>
      </c>
    </row>
    <row r="223" customFormat="false" ht="15" hidden="false" customHeight="false" outlineLevel="0" collapsed="false">
      <c r="A223" s="4" t="n">
        <v>2024</v>
      </c>
      <c r="B223" s="4" t="n">
        <v>19</v>
      </c>
      <c r="C223" s="8" t="s">
        <v>64</v>
      </c>
      <c r="D223" s="4" t="s">
        <v>66</v>
      </c>
      <c r="E223" s="4" t="n">
        <v>38</v>
      </c>
    </row>
    <row r="224" customFormat="false" ht="15" hidden="false" customHeight="false" outlineLevel="0" collapsed="false">
      <c r="A224" s="4" t="n">
        <v>2024</v>
      </c>
      <c r="B224" s="4" t="n">
        <v>20</v>
      </c>
      <c r="C224" s="8" t="s">
        <v>64</v>
      </c>
      <c r="D224" s="4" t="s">
        <v>107</v>
      </c>
      <c r="E224" s="4"/>
    </row>
    <row r="225" customFormat="false" ht="15" hidden="false" customHeight="false" outlineLevel="0" collapsed="false">
      <c r="A225" s="4" t="n">
        <v>2024</v>
      </c>
      <c r="B225" s="4" t="n">
        <v>21</v>
      </c>
      <c r="C225" s="8" t="s">
        <v>56</v>
      </c>
      <c r="D225" s="8" t="s">
        <v>96</v>
      </c>
      <c r="E225" s="4"/>
    </row>
    <row r="226" customFormat="false" ht="15" hidden="false" customHeight="false" outlineLevel="0" collapsed="false">
      <c r="A226" s="4" t="n">
        <v>2024</v>
      </c>
      <c r="B226" s="4" t="n">
        <v>22</v>
      </c>
      <c r="C226" s="8" t="s">
        <v>44</v>
      </c>
      <c r="D226" s="4" t="s">
        <v>83</v>
      </c>
      <c r="E226" s="4"/>
    </row>
    <row r="227" customFormat="false" ht="15" hidden="false" customHeight="false" outlineLevel="0" collapsed="false">
      <c r="A227" s="4" t="n">
        <v>2024</v>
      </c>
      <c r="B227" s="4" t="n">
        <v>23</v>
      </c>
      <c r="C227" s="8" t="s">
        <v>44</v>
      </c>
      <c r="D227" s="4" t="s">
        <v>58</v>
      </c>
      <c r="E227" s="4"/>
    </row>
    <row r="228" customFormat="false" ht="15" hidden="false" customHeight="false" outlineLevel="0" collapsed="false">
      <c r="A228" s="4" t="n">
        <v>2024</v>
      </c>
      <c r="B228" s="4" t="n">
        <v>24</v>
      </c>
      <c r="C228" s="8" t="s">
        <v>60</v>
      </c>
      <c r="D228" s="4" t="s">
        <v>82</v>
      </c>
      <c r="E228" s="4"/>
    </row>
    <row r="229" customFormat="false" ht="15" hidden="false" customHeight="false" outlineLevel="0" collapsed="false">
      <c r="A229" s="4" t="n">
        <v>2024</v>
      </c>
      <c r="B229" s="4" t="n">
        <v>25</v>
      </c>
      <c r="C229" s="8" t="s">
        <v>62</v>
      </c>
      <c r="D229" s="8" t="s">
        <v>132</v>
      </c>
      <c r="E229" s="4"/>
    </row>
    <row r="230" customFormat="false" ht="15" hidden="false" customHeight="false" outlineLevel="0" collapsed="false">
      <c r="A230" s="4" t="n">
        <v>2025</v>
      </c>
      <c r="B230" s="4" t="n">
        <v>1</v>
      </c>
      <c r="C230" s="8" t="s">
        <v>38</v>
      </c>
      <c r="D230" s="8" t="s">
        <v>68</v>
      </c>
      <c r="E230" s="4"/>
    </row>
    <row r="231" customFormat="false" ht="15" hidden="false" customHeight="false" outlineLevel="0" collapsed="false">
      <c r="A231" s="4" t="n">
        <v>2025</v>
      </c>
      <c r="B231" s="4" t="n">
        <v>2</v>
      </c>
      <c r="C231" s="8" t="s">
        <v>38</v>
      </c>
      <c r="D231" s="4" t="s">
        <v>42</v>
      </c>
      <c r="E231" s="4" t="n">
        <v>6</v>
      </c>
    </row>
    <row r="232" customFormat="false" ht="15" hidden="false" customHeight="false" outlineLevel="0" collapsed="false">
      <c r="A232" s="4" t="n">
        <v>2025</v>
      </c>
      <c r="B232" s="4" t="n">
        <v>3</v>
      </c>
      <c r="C232" s="8" t="s">
        <v>64</v>
      </c>
      <c r="D232" s="8" t="s">
        <v>133</v>
      </c>
      <c r="E232" s="4"/>
    </row>
    <row r="233" customFormat="false" ht="15" hidden="false" customHeight="false" outlineLevel="0" collapsed="false">
      <c r="A233" s="4" t="n">
        <v>2025</v>
      </c>
      <c r="B233" s="4" t="n">
        <v>4</v>
      </c>
      <c r="C233" s="8" t="s">
        <v>44</v>
      </c>
      <c r="D233" s="8" t="s">
        <v>45</v>
      </c>
      <c r="E233" s="4" t="n">
        <v>8</v>
      </c>
    </row>
    <row r="234" customFormat="false" ht="15" hidden="false" customHeight="false" outlineLevel="0" collapsed="false">
      <c r="A234" s="4" t="n">
        <v>2025</v>
      </c>
      <c r="B234" s="4" t="n">
        <v>5</v>
      </c>
      <c r="C234" s="8" t="s">
        <v>38</v>
      </c>
      <c r="D234" s="4" t="s">
        <v>43</v>
      </c>
      <c r="E234" s="4"/>
    </row>
    <row r="235" customFormat="false" ht="15" hidden="false" customHeight="false" outlineLevel="0" collapsed="false">
      <c r="A235" s="4" t="n">
        <v>2025</v>
      </c>
      <c r="B235" s="4" t="n">
        <v>6</v>
      </c>
      <c r="C235" s="8" t="s">
        <v>38</v>
      </c>
      <c r="D235" s="4" t="s">
        <v>134</v>
      </c>
      <c r="E235" s="4"/>
    </row>
    <row r="236" customFormat="false" ht="15" hidden="false" customHeight="false" outlineLevel="0" collapsed="false">
      <c r="A236" s="4" t="n">
        <v>2025</v>
      </c>
      <c r="B236" s="4" t="n">
        <v>7</v>
      </c>
      <c r="C236" s="8" t="s">
        <v>38</v>
      </c>
      <c r="D236" s="4" t="s">
        <v>135</v>
      </c>
      <c r="E236" s="4"/>
    </row>
    <row r="237" customFormat="false" ht="15" hidden="false" customHeight="false" outlineLevel="0" collapsed="false">
      <c r="A237" s="4" t="n">
        <v>2025</v>
      </c>
      <c r="B237" s="4" t="n">
        <v>8</v>
      </c>
      <c r="C237" s="8" t="s">
        <v>38</v>
      </c>
      <c r="D237" s="4" t="s">
        <v>134</v>
      </c>
      <c r="E237" s="4"/>
    </row>
    <row r="238" customFormat="false" ht="15" hidden="false" customHeight="false" outlineLevel="0" collapsed="false">
      <c r="A238" s="4" t="n">
        <v>2025</v>
      </c>
      <c r="B238" s="4" t="n">
        <v>9</v>
      </c>
      <c r="C238" s="8" t="s">
        <v>38</v>
      </c>
      <c r="D238" s="4" t="s">
        <v>103</v>
      </c>
      <c r="E238" s="4" t="n">
        <v>36</v>
      </c>
    </row>
    <row r="239" customFormat="false" ht="15" hidden="false" customHeight="false" outlineLevel="0" collapsed="false">
      <c r="A239" s="4" t="n">
        <v>2025</v>
      </c>
      <c r="B239" s="4" t="n">
        <v>10</v>
      </c>
      <c r="C239" s="8" t="s">
        <v>38</v>
      </c>
      <c r="D239" s="4" t="s">
        <v>49</v>
      </c>
      <c r="E239" s="4" t="n">
        <v>12</v>
      </c>
    </row>
    <row r="240" customFormat="false" ht="15" hidden="false" customHeight="false" outlineLevel="0" collapsed="false">
      <c r="A240" s="4" t="n">
        <v>2025</v>
      </c>
      <c r="B240" s="4" t="n">
        <v>11</v>
      </c>
      <c r="C240" s="8" t="s">
        <v>38</v>
      </c>
      <c r="D240" s="4" t="s">
        <v>41</v>
      </c>
      <c r="E240" s="4" t="n">
        <v>16</v>
      </c>
    </row>
    <row r="241" customFormat="false" ht="15" hidden="false" customHeight="false" outlineLevel="0" collapsed="false">
      <c r="A241" s="4" t="n">
        <v>2025</v>
      </c>
      <c r="B241" s="4" t="n">
        <v>12</v>
      </c>
      <c r="C241" s="8" t="s">
        <v>52</v>
      </c>
      <c r="D241" s="4" t="s">
        <v>86</v>
      </c>
      <c r="E241" s="4"/>
    </row>
    <row r="242" customFormat="false" ht="15" hidden="false" customHeight="false" outlineLevel="0" collapsed="false">
      <c r="A242" s="4" t="n">
        <v>2025</v>
      </c>
      <c r="B242" s="4" t="n">
        <v>13</v>
      </c>
      <c r="C242" s="8" t="s">
        <v>38</v>
      </c>
      <c r="D242" s="4" t="s">
        <v>86</v>
      </c>
      <c r="E242" s="4" t="n">
        <v>37</v>
      </c>
    </row>
    <row r="243" customFormat="false" ht="15" hidden="false" customHeight="false" outlineLevel="0" collapsed="false">
      <c r="A243" s="4" t="n">
        <v>2025</v>
      </c>
      <c r="B243" s="4" t="n">
        <v>14</v>
      </c>
      <c r="C243" s="8" t="s">
        <v>52</v>
      </c>
      <c r="D243" s="4" t="s">
        <v>54</v>
      </c>
      <c r="E243" s="4" t="n">
        <v>42</v>
      </c>
    </row>
    <row r="244" customFormat="false" ht="15" hidden="false" customHeight="false" outlineLevel="0" collapsed="false">
      <c r="A244" s="4" t="n">
        <v>2025</v>
      </c>
      <c r="B244" s="4" t="n">
        <v>15</v>
      </c>
      <c r="C244" s="8" t="s">
        <v>78</v>
      </c>
      <c r="D244" s="8" t="s">
        <v>113</v>
      </c>
      <c r="E244" s="4"/>
    </row>
    <row r="245" customFormat="false" ht="15" hidden="false" customHeight="false" outlineLevel="0" collapsed="false">
      <c r="A245" s="4" t="n">
        <v>2025</v>
      </c>
      <c r="B245" s="4" t="n">
        <v>16</v>
      </c>
      <c r="C245" s="8" t="s">
        <v>64</v>
      </c>
      <c r="D245" s="8" t="s">
        <v>125</v>
      </c>
      <c r="E245" s="4"/>
    </row>
    <row r="246" customFormat="false" ht="15" hidden="false" customHeight="false" outlineLevel="0" collapsed="false">
      <c r="A246" s="4" t="n">
        <v>2025</v>
      </c>
      <c r="B246" s="4" t="n">
        <v>17</v>
      </c>
      <c r="C246" s="8" t="s">
        <v>64</v>
      </c>
      <c r="D246" s="4" t="s">
        <v>65</v>
      </c>
      <c r="E246" s="4"/>
    </row>
    <row r="247" customFormat="false" ht="15" hidden="false" customHeight="false" outlineLevel="0" collapsed="false">
      <c r="A247" s="4" t="n">
        <v>2025</v>
      </c>
      <c r="B247" s="4" t="n">
        <v>18</v>
      </c>
      <c r="C247" s="8" t="s">
        <v>64</v>
      </c>
      <c r="D247" s="8" t="s">
        <v>136</v>
      </c>
      <c r="E247" s="4"/>
    </row>
    <row r="248" customFormat="false" ht="15" hidden="false" customHeight="false" outlineLevel="0" collapsed="false">
      <c r="A248" s="4" t="n">
        <v>2025</v>
      </c>
      <c r="B248" s="4" t="n">
        <v>19</v>
      </c>
      <c r="C248" s="8" t="s">
        <v>64</v>
      </c>
      <c r="D248" s="4" t="s">
        <v>99</v>
      </c>
      <c r="E248" s="4" t="n">
        <v>4</v>
      </c>
    </row>
    <row r="249" customFormat="false" ht="15" hidden="false" customHeight="false" outlineLevel="0" collapsed="false">
      <c r="A249" s="4" t="n">
        <v>2025</v>
      </c>
      <c r="B249" s="4" t="n">
        <v>20</v>
      </c>
      <c r="C249" s="8" t="s">
        <v>56</v>
      </c>
      <c r="D249" s="4" t="s">
        <v>127</v>
      </c>
      <c r="E249" s="4"/>
    </row>
    <row r="250" customFormat="false" ht="15" hidden="false" customHeight="false" outlineLevel="0" collapsed="false">
      <c r="A250" s="4" t="n">
        <v>2025</v>
      </c>
      <c r="B250" s="4" t="n">
        <v>21</v>
      </c>
      <c r="C250" s="8" t="s">
        <v>44</v>
      </c>
      <c r="D250" s="4" t="s">
        <v>130</v>
      </c>
      <c r="E250" s="4"/>
    </row>
    <row r="251" customFormat="false" ht="15" hidden="false" customHeight="false" outlineLevel="0" collapsed="false">
      <c r="A251" s="4" t="n">
        <v>2025</v>
      </c>
      <c r="B251" s="4" t="n">
        <v>22</v>
      </c>
      <c r="C251" s="8" t="s">
        <v>44</v>
      </c>
      <c r="D251" s="4" t="s">
        <v>137</v>
      </c>
      <c r="E251" s="4"/>
    </row>
    <row r="252" customFormat="false" ht="15" hidden="false" customHeight="false" outlineLevel="0" collapsed="false">
      <c r="A252" s="4" t="n">
        <v>2025</v>
      </c>
      <c r="B252" s="4" t="n">
        <v>23</v>
      </c>
      <c r="C252" s="8" t="s">
        <v>109</v>
      </c>
      <c r="D252" s="4" t="s">
        <v>138</v>
      </c>
      <c r="E252" s="4"/>
    </row>
    <row r="253" customFormat="false" ht="15" hidden="false" customHeight="false" outlineLevel="0" collapsed="false">
      <c r="A253" s="4" t="n">
        <v>2025</v>
      </c>
      <c r="B253" s="4" t="n">
        <v>24</v>
      </c>
      <c r="C253" s="8" t="s">
        <v>60</v>
      </c>
      <c r="D253" s="4" t="s">
        <v>82</v>
      </c>
      <c r="E253" s="4"/>
    </row>
    <row r="254" customFormat="false" ht="15" hidden="false" customHeight="false" outlineLevel="0" collapsed="false">
      <c r="A254" s="4" t="n">
        <v>2025</v>
      </c>
      <c r="B254" s="4" t="n">
        <v>25</v>
      </c>
      <c r="C254" s="8" t="s">
        <v>62</v>
      </c>
      <c r="D254" s="8" t="s">
        <v>63</v>
      </c>
      <c r="E254" s="4" t="n">
        <v>44</v>
      </c>
    </row>
  </sheetData>
  <autoFilter ref="A4:E25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4"/>
    <col collapsed="false" customWidth="true" hidden="false" outlineLevel="0" max="3" min="3" style="0" width="40"/>
    <col collapsed="false" customWidth="true" hidden="false" outlineLevel="0" max="4" min="4" style="0" width="24"/>
    <col collapsed="false" customWidth="true" hidden="false" outlineLevel="0" max="5" min="5" style="0" width="10"/>
    <col collapsed="false" customWidth="true" hidden="false" outlineLevel="0" max="6" min="6" style="0" width="52"/>
  </cols>
  <sheetData>
    <row r="1" customFormat="false" ht="21.6" hidden="false" customHeight="false" outlineLevel="0" collapsed="false">
      <c r="A1" s="1" t="s">
        <v>139</v>
      </c>
    </row>
    <row r="2" customFormat="false" ht="15" hidden="false" customHeight="false" outlineLevel="0" collapsed="false">
      <c r="A2" s="2" t="s">
        <v>140</v>
      </c>
    </row>
    <row r="4" customFormat="false" ht="15" hidden="false" customHeight="false" outlineLevel="0" collapsed="false">
      <c r="A4" s="3" t="s">
        <v>141</v>
      </c>
      <c r="B4" s="3" t="s">
        <v>142</v>
      </c>
      <c r="C4" s="3" t="s">
        <v>36</v>
      </c>
      <c r="D4" s="3" t="s">
        <v>143</v>
      </c>
      <c r="E4" s="3" t="s">
        <v>144</v>
      </c>
      <c r="F4" s="3" t="s">
        <v>145</v>
      </c>
    </row>
    <row r="5" customFormat="false" ht="15" hidden="false" customHeight="false" outlineLevel="0" collapsed="false">
      <c r="A5" s="4" t="n">
        <v>0</v>
      </c>
      <c r="B5" s="5" t="s">
        <v>146</v>
      </c>
      <c r="C5" s="5" t="s">
        <v>54</v>
      </c>
      <c r="D5" s="8" t="s">
        <v>52</v>
      </c>
      <c r="E5" s="4" t="n">
        <f aca="false">COUNTIF(問題一覧!$E$5:$E$254,A5)</f>
        <v>3</v>
      </c>
      <c r="F5" s="11" t="s">
        <v>147</v>
      </c>
    </row>
    <row r="6" customFormat="false" ht="15" hidden="false" customHeight="false" outlineLevel="0" collapsed="false">
      <c r="A6" s="4" t="n">
        <v>2</v>
      </c>
      <c r="B6" s="5" t="s">
        <v>148</v>
      </c>
      <c r="C6" s="11" t="s">
        <v>98</v>
      </c>
      <c r="D6" s="8" t="s">
        <v>62</v>
      </c>
      <c r="E6" s="4" t="n">
        <f aca="false">COUNTIF(問題一覧!$E$5:$E$254,A6)</f>
        <v>3</v>
      </c>
      <c r="F6" s="11" t="s">
        <v>149</v>
      </c>
    </row>
    <row r="7" customFormat="false" ht="15" hidden="false" customHeight="false" outlineLevel="0" collapsed="false">
      <c r="A7" s="4" t="n">
        <v>3</v>
      </c>
      <c r="B7" s="5" t="s">
        <v>150</v>
      </c>
      <c r="C7" s="5" t="s">
        <v>66</v>
      </c>
      <c r="D7" s="8" t="s">
        <v>64</v>
      </c>
      <c r="E7" s="4" t="n">
        <f aca="false">COUNTIF(問題一覧!$E$5:$E$254,A7)</f>
        <v>3</v>
      </c>
      <c r="F7" s="11" t="s">
        <v>151</v>
      </c>
    </row>
    <row r="8" customFormat="false" ht="15" hidden="false" customHeight="false" outlineLevel="0" collapsed="false">
      <c r="A8" s="4" t="n">
        <v>4</v>
      </c>
      <c r="B8" s="5" t="s">
        <v>152</v>
      </c>
      <c r="C8" s="5" t="s">
        <v>99</v>
      </c>
      <c r="D8" s="8" t="s">
        <v>64</v>
      </c>
      <c r="E8" s="4" t="n">
        <f aca="false">COUNTIF(問題一覧!$E$5:$E$254,A8)</f>
        <v>3</v>
      </c>
      <c r="F8" s="11" t="s">
        <v>153</v>
      </c>
    </row>
    <row r="9" customFormat="false" ht="15" hidden="false" customHeight="false" outlineLevel="0" collapsed="false">
      <c r="A9" s="4" t="n">
        <v>1</v>
      </c>
      <c r="B9" s="11" t="s">
        <v>154</v>
      </c>
      <c r="C9" s="5" t="s">
        <v>43</v>
      </c>
      <c r="D9" s="8" t="s">
        <v>38</v>
      </c>
      <c r="E9" s="4" t="n">
        <f aca="false">COUNTIF(問題一覧!$E$5:$E$254,A9)</f>
        <v>3</v>
      </c>
      <c r="F9" s="11" t="s">
        <v>155</v>
      </c>
    </row>
    <row r="10" customFormat="false" ht="15" hidden="false" customHeight="false" outlineLevel="0" collapsed="false">
      <c r="A10" s="4" t="n">
        <v>5</v>
      </c>
      <c r="B10" s="11" t="s">
        <v>156</v>
      </c>
      <c r="C10" s="11" t="s">
        <v>104</v>
      </c>
      <c r="D10" s="8" t="s">
        <v>52</v>
      </c>
      <c r="E10" s="4" t="n">
        <f aca="false">COUNTIF(問題一覧!$E$5:$E$254,A10)</f>
        <v>3</v>
      </c>
      <c r="F10" s="11" t="s">
        <v>157</v>
      </c>
    </row>
    <row r="11" customFormat="false" ht="15" hidden="false" customHeight="false" outlineLevel="0" collapsed="false">
      <c r="A11" s="4" t="n">
        <v>12</v>
      </c>
      <c r="B11" s="5" t="s">
        <v>158</v>
      </c>
      <c r="C11" s="5" t="s">
        <v>49</v>
      </c>
      <c r="D11" s="8" t="s">
        <v>38</v>
      </c>
      <c r="E11" s="4" t="n">
        <f aca="false">COUNTIF(問題一覧!$E$5:$E$254,A11)</f>
        <v>2</v>
      </c>
      <c r="F11" s="11" t="s">
        <v>159</v>
      </c>
    </row>
    <row r="12" customFormat="false" ht="15" hidden="false" customHeight="false" outlineLevel="0" collapsed="false">
      <c r="A12" s="4" t="n">
        <v>13</v>
      </c>
      <c r="B12" s="5" t="s">
        <v>160</v>
      </c>
      <c r="C12" s="5" t="s">
        <v>51</v>
      </c>
      <c r="D12" s="8" t="s">
        <v>50</v>
      </c>
      <c r="E12" s="4" t="n">
        <f aca="false">COUNTIF(問題一覧!$E$5:$E$254,A12)</f>
        <v>2</v>
      </c>
      <c r="F12" s="11" t="s">
        <v>161</v>
      </c>
    </row>
    <row r="13" customFormat="false" ht="29.85" hidden="false" customHeight="false" outlineLevel="0" collapsed="false">
      <c r="A13" s="4" t="n">
        <v>14</v>
      </c>
      <c r="B13" s="5" t="s">
        <v>162</v>
      </c>
      <c r="C13" s="5" t="s">
        <v>58</v>
      </c>
      <c r="D13" s="8" t="s">
        <v>44</v>
      </c>
      <c r="E13" s="4" t="n">
        <f aca="false">COUNTIF(問題一覧!$E$5:$E$254,A13)</f>
        <v>2</v>
      </c>
      <c r="F13" s="11" t="s">
        <v>163</v>
      </c>
    </row>
    <row r="14" customFormat="false" ht="15" hidden="false" customHeight="false" outlineLevel="0" collapsed="false">
      <c r="A14" s="4" t="n">
        <v>6</v>
      </c>
      <c r="B14" s="5" t="s">
        <v>164</v>
      </c>
      <c r="C14" s="5" t="s">
        <v>42</v>
      </c>
      <c r="D14" s="8" t="s">
        <v>38</v>
      </c>
      <c r="E14" s="4" t="n">
        <f aca="false">COUNTIF(問題一覧!$E$5:$E$254,A14)</f>
        <v>2</v>
      </c>
      <c r="F14" s="11" t="s">
        <v>165</v>
      </c>
    </row>
    <row r="15" customFormat="false" ht="15" hidden="false" customHeight="false" outlineLevel="0" collapsed="false">
      <c r="A15" s="4" t="n">
        <v>7</v>
      </c>
      <c r="B15" s="5" t="s">
        <v>166</v>
      </c>
      <c r="C15" s="5" t="s">
        <v>43</v>
      </c>
      <c r="D15" s="8" t="s">
        <v>38</v>
      </c>
      <c r="E15" s="4" t="n">
        <f aca="false">COUNTIF(問題一覧!$E$5:$E$254,A15)</f>
        <v>2</v>
      </c>
      <c r="F15" s="11" t="s">
        <v>167</v>
      </c>
    </row>
    <row r="16" customFormat="false" ht="15" hidden="false" customHeight="false" outlineLevel="0" collapsed="false">
      <c r="A16" s="4" t="n">
        <v>8</v>
      </c>
      <c r="B16" s="5" t="s">
        <v>168</v>
      </c>
      <c r="C16" s="11" t="s">
        <v>45</v>
      </c>
      <c r="D16" s="8" t="s">
        <v>44</v>
      </c>
      <c r="E16" s="4" t="n">
        <f aca="false">COUNTIF(問題一覧!$E$5:$E$254,A16)</f>
        <v>2</v>
      </c>
      <c r="F16" s="11" t="s">
        <v>169</v>
      </c>
    </row>
    <row r="17" customFormat="false" ht="15" hidden="false" customHeight="false" outlineLevel="0" collapsed="false">
      <c r="A17" s="4" t="n">
        <v>9</v>
      </c>
      <c r="B17" s="5" t="s">
        <v>170</v>
      </c>
      <c r="C17" s="5" t="s">
        <v>43</v>
      </c>
      <c r="D17" s="8" t="s">
        <v>38</v>
      </c>
      <c r="E17" s="4" t="n">
        <f aca="false">COUNTIF(問題一覧!$E$5:$E$254,A17)</f>
        <v>2</v>
      </c>
      <c r="F17" s="11" t="s">
        <v>171</v>
      </c>
    </row>
    <row r="18" customFormat="false" ht="15" hidden="false" customHeight="false" outlineLevel="0" collapsed="false">
      <c r="A18" s="4" t="n">
        <v>10</v>
      </c>
      <c r="B18" s="5" t="s">
        <v>172</v>
      </c>
      <c r="C18" s="5" t="s">
        <v>46</v>
      </c>
      <c r="D18" s="8" t="s">
        <v>38</v>
      </c>
      <c r="E18" s="4" t="n">
        <f aca="false">COUNTIF(問題一覧!$E$5:$E$254,A18)</f>
        <v>2</v>
      </c>
      <c r="F18" s="11" t="s">
        <v>173</v>
      </c>
    </row>
    <row r="19" customFormat="false" ht="15" hidden="false" customHeight="false" outlineLevel="0" collapsed="false">
      <c r="A19" s="4" t="n">
        <v>11</v>
      </c>
      <c r="B19" s="5" t="s">
        <v>174</v>
      </c>
      <c r="C19" s="5" t="s">
        <v>47</v>
      </c>
      <c r="D19" s="8" t="s">
        <v>38</v>
      </c>
      <c r="E19" s="4" t="n">
        <f aca="false">COUNTIF(問題一覧!$E$5:$E$254,A19)</f>
        <v>2</v>
      </c>
      <c r="F19" s="11" t="s">
        <v>175</v>
      </c>
    </row>
    <row r="20" customFormat="false" ht="15" hidden="false" customHeight="false" outlineLevel="0" collapsed="false">
      <c r="A20" s="4" t="n">
        <v>16</v>
      </c>
      <c r="B20" s="5" t="s">
        <v>176</v>
      </c>
      <c r="C20" s="5" t="s">
        <v>41</v>
      </c>
      <c r="D20" s="8" t="s">
        <v>38</v>
      </c>
      <c r="E20" s="4" t="n">
        <f aca="false">COUNTIF(問題一覧!$E$5:$E$254,A20)</f>
        <v>2</v>
      </c>
      <c r="F20" s="11" t="s">
        <v>177</v>
      </c>
    </row>
    <row r="21" customFormat="false" ht="15" hidden="false" customHeight="false" outlineLevel="0" collapsed="false">
      <c r="A21" s="4" t="n">
        <v>17</v>
      </c>
      <c r="B21" s="5" t="s">
        <v>178</v>
      </c>
      <c r="C21" s="5" t="s">
        <v>83</v>
      </c>
      <c r="D21" s="8" t="s">
        <v>44</v>
      </c>
      <c r="E21" s="4" t="n">
        <f aca="false">COUNTIF(問題一覧!$E$5:$E$254,A21)</f>
        <v>2</v>
      </c>
      <c r="F21" s="11" t="s">
        <v>179</v>
      </c>
    </row>
    <row r="22" customFormat="false" ht="15" hidden="false" customHeight="false" outlineLevel="0" collapsed="false">
      <c r="A22" s="4" t="n">
        <v>15</v>
      </c>
      <c r="B22" s="5" t="s">
        <v>180</v>
      </c>
      <c r="C22" s="5" t="s">
        <v>69</v>
      </c>
      <c r="D22" s="8" t="s">
        <v>38</v>
      </c>
      <c r="E22" s="4" t="n">
        <f aca="false">COUNTIF(問題一覧!$E$5:$E$254,A22)</f>
        <v>2</v>
      </c>
      <c r="F22" s="11" t="s">
        <v>181</v>
      </c>
    </row>
    <row r="23" customFormat="false" ht="15" hidden="false" customHeight="false" outlineLevel="0" collapsed="false">
      <c r="A23" s="4" t="n">
        <v>18</v>
      </c>
      <c r="B23" s="5" t="s">
        <v>182</v>
      </c>
      <c r="C23" s="5" t="s">
        <v>85</v>
      </c>
      <c r="D23" s="8" t="s">
        <v>50</v>
      </c>
      <c r="E23" s="4" t="n">
        <f aca="false">COUNTIF(問題一覧!$E$5:$E$254,A23)</f>
        <v>2</v>
      </c>
      <c r="F23" s="11" t="s">
        <v>183</v>
      </c>
    </row>
    <row r="24" customFormat="false" ht="15" hidden="false" customHeight="false" outlineLevel="0" collapsed="false">
      <c r="A24" s="4" t="n">
        <v>21</v>
      </c>
      <c r="B24" s="11" t="s">
        <v>184</v>
      </c>
      <c r="C24" s="11" t="s">
        <v>92</v>
      </c>
      <c r="D24" s="8" t="s">
        <v>38</v>
      </c>
      <c r="E24" s="4" t="n">
        <f aca="false">COUNTIF(問題一覧!$E$5:$E$254,A24)</f>
        <v>2</v>
      </c>
      <c r="F24" s="11" t="s">
        <v>185</v>
      </c>
    </row>
    <row r="25" customFormat="false" ht="15" hidden="false" customHeight="false" outlineLevel="0" collapsed="false">
      <c r="A25" s="4" t="n">
        <v>22</v>
      </c>
      <c r="B25" s="5" t="s">
        <v>186</v>
      </c>
      <c r="C25" s="5" t="s">
        <v>94</v>
      </c>
      <c r="D25" s="8" t="s">
        <v>52</v>
      </c>
      <c r="E25" s="4" t="n">
        <f aca="false">COUNTIF(問題一覧!$E$5:$E$254,A25)</f>
        <v>2</v>
      </c>
      <c r="F25" s="11" t="s">
        <v>187</v>
      </c>
    </row>
    <row r="26" customFormat="false" ht="15" hidden="false" customHeight="false" outlineLevel="0" collapsed="false">
      <c r="A26" s="4" t="n">
        <v>23</v>
      </c>
      <c r="B26" s="5" t="s">
        <v>188</v>
      </c>
      <c r="C26" s="11" t="s">
        <v>97</v>
      </c>
      <c r="D26" s="8" t="s">
        <v>44</v>
      </c>
      <c r="E26" s="4" t="n">
        <f aca="false">COUNTIF(問題一覧!$E$5:$E$254,A26)</f>
        <v>2</v>
      </c>
      <c r="F26" s="11" t="s">
        <v>189</v>
      </c>
    </row>
    <row r="27" customFormat="false" ht="15" hidden="false" customHeight="false" outlineLevel="0" collapsed="false">
      <c r="A27" s="4" t="n">
        <v>24</v>
      </c>
      <c r="B27" s="11" t="s">
        <v>190</v>
      </c>
      <c r="C27" s="5" t="s">
        <v>84</v>
      </c>
      <c r="D27" s="8" t="s">
        <v>64</v>
      </c>
      <c r="E27" s="4" t="n">
        <f aca="false">COUNTIF(問題一覧!$E$5:$E$254,A27)</f>
        <v>2</v>
      </c>
      <c r="F27" s="11" t="s">
        <v>191</v>
      </c>
    </row>
    <row r="28" customFormat="false" ht="15" hidden="false" customHeight="false" outlineLevel="0" collapsed="false">
      <c r="A28" s="4" t="n">
        <v>19</v>
      </c>
      <c r="B28" s="11" t="s">
        <v>192</v>
      </c>
      <c r="C28" s="11" t="s">
        <v>87</v>
      </c>
      <c r="D28" s="8" t="s">
        <v>38</v>
      </c>
      <c r="E28" s="4" t="n">
        <f aca="false">COUNTIF(問題一覧!$E$5:$E$254,A28)</f>
        <v>2</v>
      </c>
      <c r="F28" s="11" t="s">
        <v>193</v>
      </c>
    </row>
    <row r="29" customFormat="false" ht="15" hidden="false" customHeight="false" outlineLevel="0" collapsed="false">
      <c r="A29" s="4" t="n">
        <v>20</v>
      </c>
      <c r="B29" s="5" t="s">
        <v>194</v>
      </c>
      <c r="C29" s="5" t="s">
        <v>89</v>
      </c>
      <c r="D29" s="8" t="s">
        <v>38</v>
      </c>
      <c r="E29" s="4" t="n">
        <f aca="false">COUNTIF(問題一覧!$E$5:$E$254,A29)</f>
        <v>2</v>
      </c>
      <c r="F29" s="11" t="s">
        <v>195</v>
      </c>
    </row>
    <row r="30" customFormat="false" ht="15" hidden="false" customHeight="false" outlineLevel="0" collapsed="false">
      <c r="A30" s="4" t="n">
        <v>26</v>
      </c>
      <c r="B30" s="5" t="s">
        <v>196</v>
      </c>
      <c r="C30" s="5" t="s">
        <v>48</v>
      </c>
      <c r="D30" s="8" t="s">
        <v>38</v>
      </c>
      <c r="E30" s="4" t="n">
        <f aca="false">COUNTIF(問題一覧!$E$5:$E$254,A30)</f>
        <v>2</v>
      </c>
      <c r="F30" s="11" t="s">
        <v>197</v>
      </c>
    </row>
    <row r="31" customFormat="false" ht="15" hidden="false" customHeight="false" outlineLevel="0" collapsed="false">
      <c r="A31" s="4" t="n">
        <v>27</v>
      </c>
      <c r="B31" s="5" t="s">
        <v>198</v>
      </c>
      <c r="C31" s="5" t="s">
        <v>85</v>
      </c>
      <c r="D31" s="8" t="s">
        <v>50</v>
      </c>
      <c r="E31" s="4" t="n">
        <f aca="false">COUNTIF(問題一覧!$E$5:$E$254,A31)</f>
        <v>2</v>
      </c>
      <c r="F31" s="11" t="s">
        <v>199</v>
      </c>
    </row>
    <row r="32" customFormat="false" ht="15" hidden="false" customHeight="false" outlineLevel="0" collapsed="false">
      <c r="A32" s="4" t="n">
        <v>28</v>
      </c>
      <c r="B32" s="5" t="s">
        <v>200</v>
      </c>
      <c r="C32" s="11" t="s">
        <v>67</v>
      </c>
      <c r="D32" s="8" t="s">
        <v>64</v>
      </c>
      <c r="E32" s="4" t="n">
        <f aca="false">COUNTIF(問題一覧!$E$5:$E$254,A32)</f>
        <v>2</v>
      </c>
      <c r="F32" s="11" t="s">
        <v>201</v>
      </c>
    </row>
    <row r="33" customFormat="false" ht="15" hidden="false" customHeight="false" outlineLevel="0" collapsed="false">
      <c r="A33" s="4" t="n">
        <v>25</v>
      </c>
      <c r="B33" s="11" t="s">
        <v>202</v>
      </c>
      <c r="C33" s="11" t="s">
        <v>72</v>
      </c>
      <c r="D33" s="8" t="s">
        <v>38</v>
      </c>
      <c r="E33" s="4" t="n">
        <f aca="false">COUNTIF(問題一覧!$E$5:$E$254,A33)</f>
        <v>2</v>
      </c>
      <c r="F33" s="11" t="s">
        <v>203</v>
      </c>
    </row>
    <row r="34" customFormat="false" ht="15" hidden="false" customHeight="false" outlineLevel="0" collapsed="false">
      <c r="A34" s="4" t="n">
        <v>29</v>
      </c>
      <c r="B34" s="5" t="s">
        <v>204</v>
      </c>
      <c r="C34" s="11" t="s">
        <v>68</v>
      </c>
      <c r="D34" s="8" t="s">
        <v>38</v>
      </c>
      <c r="E34" s="4" t="n">
        <f aca="false">COUNTIF(問題一覧!$E$5:$E$254,A34)</f>
        <v>2</v>
      </c>
      <c r="F34" s="11" t="s">
        <v>205</v>
      </c>
    </row>
    <row r="35" customFormat="false" ht="15" hidden="false" customHeight="false" outlineLevel="0" collapsed="false">
      <c r="A35" s="4" t="n">
        <v>32</v>
      </c>
      <c r="B35" s="5" t="s">
        <v>206</v>
      </c>
      <c r="C35" s="5" t="s">
        <v>74</v>
      </c>
      <c r="D35" s="8" t="s">
        <v>38</v>
      </c>
      <c r="E35" s="4" t="n">
        <f aca="false">COUNTIF(問題一覧!$E$5:$E$254,A35)</f>
        <v>2</v>
      </c>
      <c r="F35" s="11" t="s">
        <v>207</v>
      </c>
    </row>
    <row r="36" customFormat="false" ht="15" hidden="false" customHeight="false" outlineLevel="0" collapsed="false">
      <c r="A36" s="4" t="n">
        <v>33</v>
      </c>
      <c r="B36" s="5" t="s">
        <v>208</v>
      </c>
      <c r="C36" s="11" t="s">
        <v>113</v>
      </c>
      <c r="D36" s="8" t="s">
        <v>38</v>
      </c>
      <c r="E36" s="4" t="n">
        <f aca="false">COUNTIF(問題一覧!$E$5:$E$254,A36)</f>
        <v>2</v>
      </c>
      <c r="F36" s="11" t="s">
        <v>209</v>
      </c>
    </row>
    <row r="37" customFormat="false" ht="15" hidden="false" customHeight="false" outlineLevel="0" collapsed="false">
      <c r="A37" s="4" t="n">
        <v>34</v>
      </c>
      <c r="B37" s="5" t="s">
        <v>210</v>
      </c>
      <c r="C37" s="5" t="s">
        <v>84</v>
      </c>
      <c r="D37" s="8" t="s">
        <v>64</v>
      </c>
      <c r="E37" s="4" t="n">
        <f aca="false">COUNTIF(問題一覧!$E$5:$E$254,A37)</f>
        <v>2</v>
      </c>
      <c r="F37" s="11" t="s">
        <v>211</v>
      </c>
    </row>
    <row r="38" customFormat="false" ht="15" hidden="false" customHeight="false" outlineLevel="0" collapsed="false">
      <c r="A38" s="4" t="n">
        <v>30</v>
      </c>
      <c r="B38" s="11" t="s">
        <v>212</v>
      </c>
      <c r="C38" s="11" t="s">
        <v>108</v>
      </c>
      <c r="D38" s="8" t="s">
        <v>38</v>
      </c>
      <c r="E38" s="4" t="n">
        <f aca="false">COUNTIF(問題一覧!$E$5:$E$254,A38)</f>
        <v>2</v>
      </c>
      <c r="F38" s="11" t="s">
        <v>213</v>
      </c>
    </row>
    <row r="39" customFormat="false" ht="15" hidden="false" customHeight="false" outlineLevel="0" collapsed="false">
      <c r="A39" s="4" t="n">
        <v>31</v>
      </c>
      <c r="B39" s="5" t="s">
        <v>214</v>
      </c>
      <c r="C39" s="5" t="s">
        <v>111</v>
      </c>
      <c r="D39" s="8" t="s">
        <v>38</v>
      </c>
      <c r="E39" s="4" t="n">
        <f aca="false">COUNTIF(問題一覧!$E$5:$E$254,A39)</f>
        <v>2</v>
      </c>
      <c r="F39" s="11" t="s">
        <v>215</v>
      </c>
    </row>
    <row r="40" customFormat="false" ht="15" hidden="false" customHeight="false" outlineLevel="0" collapsed="false">
      <c r="A40" s="4" t="n">
        <v>35</v>
      </c>
      <c r="B40" s="5" t="s">
        <v>102</v>
      </c>
      <c r="C40" s="5" t="s">
        <v>102</v>
      </c>
      <c r="D40" s="8" t="s">
        <v>38</v>
      </c>
      <c r="E40" s="4" t="n">
        <f aca="false">COUNTIF(問題一覧!$E$5:$E$254,A40)</f>
        <v>2</v>
      </c>
      <c r="F40" s="11" t="s">
        <v>216</v>
      </c>
    </row>
    <row r="41" customFormat="false" ht="29.85" hidden="false" customHeight="false" outlineLevel="0" collapsed="false">
      <c r="A41" s="4" t="n">
        <v>37</v>
      </c>
      <c r="B41" s="5" t="s">
        <v>217</v>
      </c>
      <c r="C41" s="5" t="s">
        <v>86</v>
      </c>
      <c r="D41" s="8" t="s">
        <v>38</v>
      </c>
      <c r="E41" s="4" t="n">
        <f aca="false">COUNTIF(問題一覧!$E$5:$E$254,A41)</f>
        <v>2</v>
      </c>
      <c r="F41" s="11" t="s">
        <v>218</v>
      </c>
    </row>
    <row r="42" customFormat="false" ht="15" hidden="false" customHeight="false" outlineLevel="0" collapsed="false">
      <c r="A42" s="4" t="n">
        <v>38</v>
      </c>
      <c r="B42" s="5" t="s">
        <v>219</v>
      </c>
      <c r="C42" s="5" t="s">
        <v>66</v>
      </c>
      <c r="D42" s="8" t="s">
        <v>64</v>
      </c>
      <c r="E42" s="4" t="n">
        <f aca="false">COUNTIF(問題一覧!$E$5:$E$254,A42)</f>
        <v>2</v>
      </c>
      <c r="F42" s="11" t="s">
        <v>220</v>
      </c>
    </row>
    <row r="43" customFormat="false" ht="15" hidden="false" customHeight="false" outlineLevel="0" collapsed="false">
      <c r="A43" s="4" t="n">
        <v>36</v>
      </c>
      <c r="B43" s="5" t="s">
        <v>221</v>
      </c>
      <c r="C43" s="5" t="s">
        <v>103</v>
      </c>
      <c r="D43" s="8" t="s">
        <v>38</v>
      </c>
      <c r="E43" s="4" t="n">
        <f aca="false">COUNTIF(問題一覧!$E$5:$E$254,A43)</f>
        <v>2</v>
      </c>
      <c r="F43" s="11" t="s">
        <v>222</v>
      </c>
    </row>
    <row r="44" customFormat="false" ht="15" hidden="false" customHeight="false" outlineLevel="0" collapsed="false">
      <c r="A44" s="4" t="n">
        <v>41</v>
      </c>
      <c r="B44" s="5" t="s">
        <v>223</v>
      </c>
      <c r="C44" s="11" t="s">
        <v>124</v>
      </c>
      <c r="D44" s="8" t="s">
        <v>38</v>
      </c>
      <c r="E44" s="4" t="n">
        <f aca="false">COUNTIF(問題一覧!$E$5:$E$254,A44)</f>
        <v>2</v>
      </c>
      <c r="F44" s="11" t="s">
        <v>224</v>
      </c>
    </row>
    <row r="45" customFormat="false" ht="15" hidden="false" customHeight="false" outlineLevel="0" collapsed="false">
      <c r="A45" s="4" t="n">
        <v>42</v>
      </c>
      <c r="B45" s="5" t="s">
        <v>225</v>
      </c>
      <c r="C45" s="5" t="s">
        <v>54</v>
      </c>
      <c r="D45" s="8" t="s">
        <v>52</v>
      </c>
      <c r="E45" s="4" t="n">
        <f aca="false">COUNTIF(問題一覧!$E$5:$E$254,A45)</f>
        <v>2</v>
      </c>
      <c r="F45" s="11" t="s">
        <v>226</v>
      </c>
    </row>
    <row r="46" customFormat="false" ht="15" hidden="false" customHeight="false" outlineLevel="0" collapsed="false">
      <c r="A46" s="4" t="n">
        <v>43</v>
      </c>
      <c r="B46" s="11" t="s">
        <v>227</v>
      </c>
      <c r="C46" s="5" t="s">
        <v>66</v>
      </c>
      <c r="D46" s="8" t="s">
        <v>64</v>
      </c>
      <c r="E46" s="4" t="n">
        <f aca="false">COUNTIF(問題一覧!$E$5:$E$254,A46)</f>
        <v>2</v>
      </c>
      <c r="F46" s="11" t="s">
        <v>228</v>
      </c>
    </row>
    <row r="47" customFormat="false" ht="15" hidden="false" customHeight="false" outlineLevel="0" collapsed="false">
      <c r="A47" s="4" t="n">
        <v>39</v>
      </c>
      <c r="B47" s="5" t="s">
        <v>229</v>
      </c>
      <c r="C47" s="5" t="s">
        <v>123</v>
      </c>
      <c r="D47" s="8" t="s">
        <v>60</v>
      </c>
      <c r="E47" s="4" t="n">
        <f aca="false">COUNTIF(問題一覧!$E$5:$E$254,A47)</f>
        <v>2</v>
      </c>
      <c r="F47" s="11" t="s">
        <v>230</v>
      </c>
    </row>
    <row r="48" customFormat="false" ht="15" hidden="false" customHeight="false" outlineLevel="0" collapsed="false">
      <c r="A48" s="4" t="n">
        <v>40</v>
      </c>
      <c r="B48" s="5" t="s">
        <v>231</v>
      </c>
      <c r="C48" s="5" t="s">
        <v>71</v>
      </c>
      <c r="D48" s="8" t="s">
        <v>38</v>
      </c>
      <c r="E48" s="4" t="n">
        <f aca="false">COUNTIF(問題一覧!$E$5:$E$254,A48)</f>
        <v>2</v>
      </c>
      <c r="F48" s="11" t="s">
        <v>232</v>
      </c>
    </row>
    <row r="49" customFormat="false" ht="15" hidden="false" customHeight="false" outlineLevel="0" collapsed="false">
      <c r="A49" s="4" t="n">
        <v>44</v>
      </c>
      <c r="B49" s="11" t="s">
        <v>233</v>
      </c>
      <c r="C49" s="11" t="s">
        <v>63</v>
      </c>
      <c r="D49" s="8" t="s">
        <v>62</v>
      </c>
      <c r="E49" s="4" t="n">
        <f aca="false">COUNTIF(問題一覧!$E$5:$E$254,A49)</f>
        <v>2</v>
      </c>
      <c r="F49" s="11" t="s">
        <v>234</v>
      </c>
    </row>
  </sheetData>
  <autoFilter ref="A4:F4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
    <col collapsed="false" customWidth="true" hidden="false" outlineLevel="0" max="3" min="3" style="0" width="12"/>
    <col collapsed="false" customWidth="true" hidden="false" outlineLevel="0" max="4" min="4" style="0" width="10"/>
    <col collapsed="false" customWidth="true" hidden="false" outlineLevel="0" max="14" min="5" style="0" width="7"/>
  </cols>
  <sheetData>
    <row r="1" customFormat="false" ht="17.35" hidden="false" customHeight="false" outlineLevel="0" collapsed="false">
      <c r="A1" s="1" t="s">
        <v>235</v>
      </c>
    </row>
    <row r="2" customFormat="false" ht="15" hidden="false" customHeight="false" outlineLevel="0" collapsed="false">
      <c r="A2" s="2" t="s">
        <v>236</v>
      </c>
    </row>
    <row r="4" customFormat="false" ht="15" hidden="false" customHeight="false" outlineLevel="0" collapsed="false">
      <c r="A4" s="3" t="s">
        <v>143</v>
      </c>
      <c r="B4" s="3" t="s">
        <v>237</v>
      </c>
      <c r="C4" s="3" t="s">
        <v>238</v>
      </c>
      <c r="D4" s="3" t="s">
        <v>239</v>
      </c>
      <c r="E4" s="12" t="s">
        <v>240</v>
      </c>
      <c r="F4" s="12" t="s">
        <v>241</v>
      </c>
      <c r="G4" s="12" t="s">
        <v>242</v>
      </c>
      <c r="H4" s="12" t="s">
        <v>243</v>
      </c>
      <c r="I4" s="12" t="s">
        <v>244</v>
      </c>
      <c r="J4" s="12" t="s">
        <v>245</v>
      </c>
      <c r="K4" s="12" t="s">
        <v>246</v>
      </c>
      <c r="L4" s="12" t="s">
        <v>247</v>
      </c>
      <c r="M4" s="12" t="s">
        <v>248</v>
      </c>
      <c r="N4" s="12" t="s">
        <v>249</v>
      </c>
    </row>
    <row r="5" customFormat="false" ht="15" hidden="false" customHeight="false" outlineLevel="0" collapsed="false">
      <c r="A5" s="8" t="s">
        <v>38</v>
      </c>
      <c r="B5" s="4" t="n">
        <f aca="false">COUNTIF(問題一覧!$C$5:$C$254,A5)</f>
        <v>105</v>
      </c>
      <c r="C5" s="4" t="n">
        <f aca="false">COUNTIFS(問題一覧!$C$5:$C$254,A5,問題一覧!$E$5:$E$254,"&gt;=0")</f>
        <v>48</v>
      </c>
      <c r="D5" s="4" t="n">
        <f aca="false">B5-C5</f>
        <v>57</v>
      </c>
      <c r="E5" s="4" t="n">
        <f aca="false">COUNTIFS(問題一覧!$C$5:$C$254,$A5,問題一覧!$A$5:$A$254,2015)</f>
        <v>11</v>
      </c>
      <c r="F5" s="4" t="n">
        <f aca="false">COUNTIFS(問題一覧!$C$5:$C$254,$A5,問題一覧!$A$5:$A$254,2016)</f>
        <v>12</v>
      </c>
      <c r="G5" s="4" t="n">
        <f aca="false">COUNTIFS(問題一覧!$C$5:$C$254,$A5,問題一覧!$A$5:$A$254,2017)</f>
        <v>9</v>
      </c>
      <c r="H5" s="4" t="n">
        <f aca="false">COUNTIFS(問題一覧!$C$5:$C$254,$A5,問題一覧!$A$5:$A$254,2018)</f>
        <v>10</v>
      </c>
      <c r="I5" s="4" t="n">
        <f aca="false">COUNTIFS(問題一覧!$C$5:$C$254,$A5,問題一覧!$A$5:$A$254,2019)</f>
        <v>12</v>
      </c>
      <c r="J5" s="4" t="n">
        <f aca="false">COUNTIFS(問題一覧!$C$5:$C$254,$A5,問題一覧!$A$5:$A$254,2021)</f>
        <v>12</v>
      </c>
      <c r="K5" s="4" t="n">
        <f aca="false">COUNTIFS(問題一覧!$C$5:$C$254,$A5,問題一覧!$A$5:$A$254,2022)</f>
        <v>10</v>
      </c>
      <c r="L5" s="4" t="n">
        <f aca="false">COUNTIFS(問題一覧!$C$5:$C$254,$A5,問題一覧!$A$5:$A$254,2023)</f>
        <v>9</v>
      </c>
      <c r="M5" s="4" t="n">
        <f aca="false">COUNTIFS(問題一覧!$C$5:$C$254,$A5,問題一覧!$A$5:$A$254,2024)</f>
        <v>10</v>
      </c>
      <c r="N5" s="4" t="n">
        <f aca="false">COUNTIFS(問題一覧!$C$5:$C$254,$A5,問題一覧!$A$5:$A$254,2025)</f>
        <v>10</v>
      </c>
    </row>
    <row r="6" customFormat="false" ht="15" hidden="false" customHeight="false" outlineLevel="0" collapsed="false">
      <c r="A6" s="8" t="s">
        <v>64</v>
      </c>
      <c r="B6" s="4" t="n">
        <f aca="false">COUNTIF(問題一覧!$C$5:$C$254,A6)</f>
        <v>40</v>
      </c>
      <c r="C6" s="4" t="n">
        <f aca="false">COUNTIFS(問題一覧!$C$5:$C$254,A6,問題一覧!$E$5:$E$254,"&gt;=0")</f>
        <v>16</v>
      </c>
      <c r="D6" s="4" t="n">
        <f aca="false">B6-C6</f>
        <v>24</v>
      </c>
      <c r="E6" s="4" t="n">
        <f aca="false">COUNTIFS(問題一覧!$C$5:$C$254,$A6,問題一覧!$A$5:$A$254,2015)</f>
        <v>3</v>
      </c>
      <c r="F6" s="4" t="n">
        <f aca="false">COUNTIFS(問題一覧!$C$5:$C$254,$A6,問題一覧!$A$5:$A$254,2016)</f>
        <v>4</v>
      </c>
      <c r="G6" s="4" t="n">
        <f aca="false">COUNTIFS(問題一覧!$C$5:$C$254,$A6,問題一覧!$A$5:$A$254,2017)</f>
        <v>3</v>
      </c>
      <c r="H6" s="4" t="n">
        <f aca="false">COUNTIFS(問題一覧!$C$5:$C$254,$A6,問題一覧!$A$5:$A$254,2018)</f>
        <v>3</v>
      </c>
      <c r="I6" s="4" t="n">
        <f aca="false">COUNTIFS(問題一覧!$C$5:$C$254,$A6,問題一覧!$A$5:$A$254,2019)</f>
        <v>3</v>
      </c>
      <c r="J6" s="4" t="n">
        <f aca="false">COUNTIFS(問題一覧!$C$5:$C$254,$A6,問題一覧!$A$5:$A$254,2021)</f>
        <v>4</v>
      </c>
      <c r="K6" s="4" t="n">
        <f aca="false">COUNTIFS(問題一覧!$C$5:$C$254,$A6,問題一覧!$A$5:$A$254,2022)</f>
        <v>5</v>
      </c>
      <c r="L6" s="4" t="n">
        <f aca="false">COUNTIFS(問題一覧!$C$5:$C$254,$A6,問題一覧!$A$5:$A$254,2023)</f>
        <v>5</v>
      </c>
      <c r="M6" s="4" t="n">
        <f aca="false">COUNTIFS(問題一覧!$C$5:$C$254,$A6,問題一覧!$A$5:$A$254,2024)</f>
        <v>5</v>
      </c>
      <c r="N6" s="4" t="n">
        <f aca="false">COUNTIFS(問題一覧!$C$5:$C$254,$A6,問題一覧!$A$5:$A$254,2025)</f>
        <v>5</v>
      </c>
    </row>
    <row r="7" customFormat="false" ht="15" hidden="false" customHeight="false" outlineLevel="0" collapsed="false">
      <c r="A7" s="8" t="s">
        <v>44</v>
      </c>
      <c r="B7" s="4" t="n">
        <f aca="false">COUNTIF(問題一覧!$C$5:$C$254,A7)</f>
        <v>23</v>
      </c>
      <c r="C7" s="4" t="n">
        <f aca="false">COUNTIFS(問題一覧!$C$5:$C$254,A7,問題一覧!$E$5:$E$254,"&gt;=0")</f>
        <v>8</v>
      </c>
      <c r="D7" s="4" t="n">
        <f aca="false">B7-C7</f>
        <v>15</v>
      </c>
      <c r="E7" s="4" t="n">
        <f aca="false">COUNTIFS(問題一覧!$C$5:$C$254,$A7,問題一覧!$A$5:$A$254,2015)</f>
        <v>3</v>
      </c>
      <c r="F7" s="4" t="n">
        <f aca="false">COUNTIFS(問題一覧!$C$5:$C$254,$A7,問題一覧!$A$5:$A$254,2016)</f>
        <v>4</v>
      </c>
      <c r="G7" s="4" t="n">
        <f aca="false">COUNTIFS(問題一覧!$C$5:$C$254,$A7,問題一覧!$A$5:$A$254,2017)</f>
        <v>2</v>
      </c>
      <c r="H7" s="4" t="n">
        <f aca="false">COUNTIFS(問題一覧!$C$5:$C$254,$A7,問題一覧!$A$5:$A$254,2018)</f>
        <v>3</v>
      </c>
      <c r="I7" s="4" t="n">
        <f aca="false">COUNTIFS(問題一覧!$C$5:$C$254,$A7,問題一覧!$A$5:$A$254,2019)</f>
        <v>1</v>
      </c>
      <c r="J7" s="4" t="n">
        <f aca="false">COUNTIFS(問題一覧!$C$5:$C$254,$A7,問題一覧!$A$5:$A$254,2021)</f>
        <v>2</v>
      </c>
      <c r="K7" s="4" t="n">
        <f aca="false">COUNTIFS(問題一覧!$C$5:$C$254,$A7,問題一覧!$A$5:$A$254,2022)</f>
        <v>1</v>
      </c>
      <c r="L7" s="4" t="n">
        <f aca="false">COUNTIFS(問題一覧!$C$5:$C$254,$A7,問題一覧!$A$5:$A$254,2023)</f>
        <v>2</v>
      </c>
      <c r="M7" s="4" t="n">
        <f aca="false">COUNTIFS(問題一覧!$C$5:$C$254,$A7,問題一覧!$A$5:$A$254,2024)</f>
        <v>2</v>
      </c>
      <c r="N7" s="4" t="n">
        <f aca="false">COUNTIFS(問題一覧!$C$5:$C$254,$A7,問題一覧!$A$5:$A$254,2025)</f>
        <v>3</v>
      </c>
    </row>
    <row r="8" customFormat="false" ht="15" hidden="false" customHeight="false" outlineLevel="0" collapsed="false">
      <c r="A8" s="8" t="s">
        <v>52</v>
      </c>
      <c r="B8" s="4" t="n">
        <f aca="false">COUNTIF(問題一覧!$C$5:$C$254,A8)</f>
        <v>19</v>
      </c>
      <c r="C8" s="4" t="n">
        <f aca="false">COUNTIFS(問題一覧!$C$5:$C$254,A8,問題一覧!$E$5:$E$254,"&gt;=0")</f>
        <v>10</v>
      </c>
      <c r="D8" s="4" t="n">
        <f aca="false">B8-C8</f>
        <v>9</v>
      </c>
      <c r="E8" s="4" t="n">
        <f aca="false">COUNTIFS(問題一覧!$C$5:$C$254,$A8,問題一覧!$A$5:$A$254,2015)</f>
        <v>3</v>
      </c>
      <c r="F8" s="4" t="n">
        <f aca="false">COUNTIFS(問題一覧!$C$5:$C$254,$A8,問題一覧!$A$5:$A$254,2016)</f>
        <v>2</v>
      </c>
      <c r="G8" s="4" t="n">
        <f aca="false">COUNTIFS(問題一覧!$C$5:$C$254,$A8,問題一覧!$A$5:$A$254,2017)</f>
        <v>2</v>
      </c>
      <c r="H8" s="4" t="n">
        <f aca="false">COUNTIFS(問題一覧!$C$5:$C$254,$A8,問題一覧!$A$5:$A$254,2018)</f>
        <v>3</v>
      </c>
      <c r="I8" s="4" t="n">
        <f aca="false">COUNTIFS(問題一覧!$C$5:$C$254,$A8,問題一覧!$A$5:$A$254,2019)</f>
        <v>2</v>
      </c>
      <c r="J8" s="4" t="n">
        <f aca="false">COUNTIFS(問題一覧!$C$5:$C$254,$A8,問題一覧!$A$5:$A$254,2021)</f>
        <v>1</v>
      </c>
      <c r="K8" s="4" t="n">
        <f aca="false">COUNTIFS(問題一覧!$C$5:$C$254,$A8,問題一覧!$A$5:$A$254,2022)</f>
        <v>1</v>
      </c>
      <c r="L8" s="4" t="n">
        <f aca="false">COUNTIFS(問題一覧!$C$5:$C$254,$A8,問題一覧!$A$5:$A$254,2023)</f>
        <v>2</v>
      </c>
      <c r="M8" s="4" t="n">
        <f aca="false">COUNTIFS(問題一覧!$C$5:$C$254,$A8,問題一覧!$A$5:$A$254,2024)</f>
        <v>1</v>
      </c>
      <c r="N8" s="4" t="n">
        <f aca="false">COUNTIFS(問題一覧!$C$5:$C$254,$A8,問題一覧!$A$5:$A$254,2025)</f>
        <v>2</v>
      </c>
    </row>
    <row r="9" customFormat="false" ht="15" hidden="false" customHeight="false" outlineLevel="0" collapsed="false">
      <c r="A9" s="8" t="s">
        <v>60</v>
      </c>
      <c r="B9" s="4" t="n">
        <f aca="false">COUNTIF(問題一覧!$C$5:$C$254,A9)</f>
        <v>14</v>
      </c>
      <c r="C9" s="4" t="n">
        <f aca="false">COUNTIFS(問題一覧!$C$5:$C$254,A9,問題一覧!$E$5:$E$254,"&gt;=0")</f>
        <v>2</v>
      </c>
      <c r="D9" s="4" t="n">
        <f aca="false">B9-C9</f>
        <v>12</v>
      </c>
      <c r="E9" s="4" t="n">
        <f aca="false">COUNTIFS(問題一覧!$C$5:$C$254,$A9,問題一覧!$A$5:$A$254,2015)</f>
        <v>1</v>
      </c>
      <c r="F9" s="4" t="n">
        <f aca="false">COUNTIFS(問題一覧!$C$5:$C$254,$A9,問題一覧!$A$5:$A$254,2016)</f>
        <v>2</v>
      </c>
      <c r="G9" s="4" t="n">
        <f aca="false">COUNTIFS(問題一覧!$C$5:$C$254,$A9,問題一覧!$A$5:$A$254,2017)</f>
        <v>1</v>
      </c>
      <c r="H9" s="4" t="n">
        <f aca="false">COUNTIFS(問題一覧!$C$5:$C$254,$A9,問題一覧!$A$5:$A$254,2018)</f>
        <v>1</v>
      </c>
      <c r="I9" s="4" t="n">
        <f aca="false">COUNTIFS(問題一覧!$C$5:$C$254,$A9,問題一覧!$A$5:$A$254,2019)</f>
        <v>1</v>
      </c>
      <c r="J9" s="4" t="n">
        <f aca="false">COUNTIFS(問題一覧!$C$5:$C$254,$A9,問題一覧!$A$5:$A$254,2021)</f>
        <v>1</v>
      </c>
      <c r="K9" s="4" t="n">
        <f aca="false">COUNTIFS(問題一覧!$C$5:$C$254,$A9,問題一覧!$A$5:$A$254,2022)</f>
        <v>3</v>
      </c>
      <c r="L9" s="4" t="n">
        <f aca="false">COUNTIFS(問題一覧!$C$5:$C$254,$A9,問題一覧!$A$5:$A$254,2023)</f>
        <v>1</v>
      </c>
      <c r="M9" s="4" t="n">
        <f aca="false">COUNTIFS(問題一覧!$C$5:$C$254,$A9,問題一覧!$A$5:$A$254,2024)</f>
        <v>2</v>
      </c>
      <c r="N9" s="4" t="n">
        <f aca="false">COUNTIFS(問題一覧!$C$5:$C$254,$A9,問題一覧!$A$5:$A$254,2025)</f>
        <v>1</v>
      </c>
    </row>
    <row r="10" customFormat="false" ht="15" hidden="false" customHeight="false" outlineLevel="0" collapsed="false">
      <c r="A10" s="8" t="s">
        <v>50</v>
      </c>
      <c r="B10" s="4" t="n">
        <f aca="false">COUNTIF(問題一覧!$C$5:$C$254,A10)</f>
        <v>14</v>
      </c>
      <c r="C10" s="4" t="n">
        <f aca="false">COUNTIFS(問題一覧!$C$5:$C$254,A10,問題一覧!$E$5:$E$254,"&gt;=0")</f>
        <v>6</v>
      </c>
      <c r="D10" s="4" t="n">
        <f aca="false">B10-C10</f>
        <v>8</v>
      </c>
      <c r="E10" s="4" t="n">
        <f aca="false">COUNTIFS(問題一覧!$C$5:$C$254,$A10,問題一覧!$A$5:$A$254,2015)</f>
        <v>1</v>
      </c>
      <c r="F10" s="4" t="n">
        <f aca="false">COUNTIFS(問題一覧!$C$5:$C$254,$A10,問題一覧!$A$5:$A$254,2016)</f>
        <v>0</v>
      </c>
      <c r="G10" s="4" t="n">
        <f aca="false">COUNTIFS(問題一覧!$C$5:$C$254,$A10,問題一覧!$A$5:$A$254,2017)</f>
        <v>3</v>
      </c>
      <c r="H10" s="4" t="n">
        <f aca="false">COUNTIFS(問題一覧!$C$5:$C$254,$A10,問題一覧!$A$5:$A$254,2018)</f>
        <v>2</v>
      </c>
      <c r="I10" s="4" t="n">
        <f aca="false">COUNTIFS(問題一覧!$C$5:$C$254,$A10,問題一覧!$A$5:$A$254,2019)</f>
        <v>1</v>
      </c>
      <c r="J10" s="4" t="n">
        <f aca="false">COUNTIFS(問題一覧!$C$5:$C$254,$A10,問題一覧!$A$5:$A$254,2021)</f>
        <v>1</v>
      </c>
      <c r="K10" s="4" t="n">
        <f aca="false">COUNTIFS(問題一覧!$C$5:$C$254,$A10,問題一覧!$A$5:$A$254,2022)</f>
        <v>2</v>
      </c>
      <c r="L10" s="4" t="n">
        <f aca="false">COUNTIFS(問題一覧!$C$5:$C$254,$A10,問題一覧!$A$5:$A$254,2023)</f>
        <v>2</v>
      </c>
      <c r="M10" s="4" t="n">
        <f aca="false">COUNTIFS(問題一覧!$C$5:$C$254,$A10,問題一覧!$A$5:$A$254,2024)</f>
        <v>2</v>
      </c>
      <c r="N10" s="4" t="n">
        <f aca="false">COUNTIFS(問題一覧!$C$5:$C$254,$A10,問題一覧!$A$5:$A$254,2025)</f>
        <v>0</v>
      </c>
    </row>
    <row r="11" customFormat="false" ht="15" hidden="false" customHeight="false" outlineLevel="0" collapsed="false">
      <c r="A11" s="8" t="s">
        <v>56</v>
      </c>
      <c r="B11" s="4" t="n">
        <f aca="false">COUNTIF(問題一覧!$C$5:$C$254,A11)</f>
        <v>12</v>
      </c>
      <c r="C11" s="4" t="n">
        <f aca="false">COUNTIFS(問題一覧!$C$5:$C$254,A11,問題一覧!$E$5:$E$254,"&gt;=0")</f>
        <v>0</v>
      </c>
      <c r="D11" s="4" t="n">
        <f aca="false">B11-C11</f>
        <v>12</v>
      </c>
      <c r="E11" s="4" t="n">
        <f aca="false">COUNTIFS(問題一覧!$C$5:$C$254,$A11,問題一覧!$A$5:$A$254,2015)</f>
        <v>2</v>
      </c>
      <c r="F11" s="4" t="n">
        <f aca="false">COUNTIFS(問題一覧!$C$5:$C$254,$A11,問題一覧!$A$5:$A$254,2016)</f>
        <v>0</v>
      </c>
      <c r="G11" s="4" t="n">
        <f aca="false">COUNTIFS(問題一覧!$C$5:$C$254,$A11,問題一覧!$A$5:$A$254,2017)</f>
        <v>2</v>
      </c>
      <c r="H11" s="4" t="n">
        <f aca="false">COUNTIFS(問題一覧!$C$5:$C$254,$A11,問題一覧!$A$5:$A$254,2018)</f>
        <v>1</v>
      </c>
      <c r="I11" s="4" t="n">
        <f aca="false">COUNTIFS(問題一覧!$C$5:$C$254,$A11,問題一覧!$A$5:$A$254,2019)</f>
        <v>2</v>
      </c>
      <c r="J11" s="4" t="n">
        <f aca="false">COUNTIFS(問題一覧!$C$5:$C$254,$A11,問題一覧!$A$5:$A$254,2021)</f>
        <v>1</v>
      </c>
      <c r="K11" s="4" t="n">
        <f aca="false">COUNTIFS(問題一覧!$C$5:$C$254,$A11,問題一覧!$A$5:$A$254,2022)</f>
        <v>1</v>
      </c>
      <c r="L11" s="4" t="n">
        <f aca="false">COUNTIFS(問題一覧!$C$5:$C$254,$A11,問題一覧!$A$5:$A$254,2023)</f>
        <v>1</v>
      </c>
      <c r="M11" s="4" t="n">
        <f aca="false">COUNTIFS(問題一覧!$C$5:$C$254,$A11,問題一覧!$A$5:$A$254,2024)</f>
        <v>1</v>
      </c>
      <c r="N11" s="4" t="n">
        <f aca="false">COUNTIFS(問題一覧!$C$5:$C$254,$A11,問題一覧!$A$5:$A$254,2025)</f>
        <v>1</v>
      </c>
    </row>
    <row r="12" customFormat="false" ht="15" hidden="false" customHeight="false" outlineLevel="0" collapsed="false">
      <c r="A12" s="8" t="s">
        <v>78</v>
      </c>
      <c r="B12" s="4" t="n">
        <f aca="false">COUNTIF(問題一覧!$C$5:$C$254,A12)</f>
        <v>12</v>
      </c>
      <c r="C12" s="4" t="n">
        <f aca="false">COUNTIFS(問題一覧!$C$5:$C$254,A12,問題一覧!$E$5:$E$254,"&gt;=0")</f>
        <v>1</v>
      </c>
      <c r="D12" s="4" t="n">
        <f aca="false">B12-C12</f>
        <v>11</v>
      </c>
      <c r="E12" s="4" t="n">
        <f aca="false">COUNTIFS(問題一覧!$C$5:$C$254,$A12,問題一覧!$A$5:$A$254,2015)</f>
        <v>0</v>
      </c>
      <c r="F12" s="4" t="n">
        <f aca="false">COUNTIFS(問題一覧!$C$5:$C$254,$A12,問題一覧!$A$5:$A$254,2016)</f>
        <v>1</v>
      </c>
      <c r="G12" s="4" t="n">
        <f aca="false">COUNTIFS(問題一覧!$C$5:$C$254,$A12,問題一覧!$A$5:$A$254,2017)</f>
        <v>2</v>
      </c>
      <c r="H12" s="4" t="n">
        <f aca="false">COUNTIFS(問題一覧!$C$5:$C$254,$A12,問題一覧!$A$5:$A$254,2018)</f>
        <v>2</v>
      </c>
      <c r="I12" s="4" t="n">
        <f aca="false">COUNTIFS(問題一覧!$C$5:$C$254,$A12,問題一覧!$A$5:$A$254,2019)</f>
        <v>1</v>
      </c>
      <c r="J12" s="4" t="n">
        <f aca="false">COUNTIFS(問題一覧!$C$5:$C$254,$A12,問題一覧!$A$5:$A$254,2021)</f>
        <v>2</v>
      </c>
      <c r="K12" s="4" t="n">
        <f aca="false">COUNTIFS(問題一覧!$C$5:$C$254,$A12,問題一覧!$A$5:$A$254,2022)</f>
        <v>1</v>
      </c>
      <c r="L12" s="4" t="n">
        <f aca="false">COUNTIFS(問題一覧!$C$5:$C$254,$A12,問題一覧!$A$5:$A$254,2023)</f>
        <v>2</v>
      </c>
      <c r="M12" s="4" t="n">
        <f aca="false">COUNTIFS(問題一覧!$C$5:$C$254,$A12,問題一覧!$A$5:$A$254,2024)</f>
        <v>0</v>
      </c>
      <c r="N12" s="4" t="n">
        <f aca="false">COUNTIFS(問題一覧!$C$5:$C$254,$A12,問題一覧!$A$5:$A$254,2025)</f>
        <v>1</v>
      </c>
    </row>
    <row r="13" customFormat="false" ht="15" hidden="false" customHeight="false" outlineLevel="0" collapsed="false">
      <c r="A13" s="8" t="s">
        <v>62</v>
      </c>
      <c r="B13" s="4" t="n">
        <f aca="false">COUNTIF(問題一覧!$C$5:$C$254,A13)</f>
        <v>8</v>
      </c>
      <c r="C13" s="4" t="n">
        <f aca="false">COUNTIFS(問題一覧!$C$5:$C$254,A13,問題一覧!$E$5:$E$254,"&gt;=0")</f>
        <v>5</v>
      </c>
      <c r="D13" s="4" t="n">
        <f aca="false">B13-C13</f>
        <v>3</v>
      </c>
      <c r="E13" s="4" t="n">
        <f aca="false">COUNTIFS(問題一覧!$C$5:$C$254,$A13,問題一覧!$A$5:$A$254,2015)</f>
        <v>1</v>
      </c>
      <c r="F13" s="4" t="n">
        <f aca="false">COUNTIFS(問題一覧!$C$5:$C$254,$A13,問題一覧!$A$5:$A$254,2016)</f>
        <v>0</v>
      </c>
      <c r="G13" s="4" t="n">
        <f aca="false">COUNTIFS(問題一覧!$C$5:$C$254,$A13,問題一覧!$A$5:$A$254,2017)</f>
        <v>1</v>
      </c>
      <c r="H13" s="4" t="n">
        <f aca="false">COUNTIFS(問題一覧!$C$5:$C$254,$A13,問題一覧!$A$5:$A$254,2018)</f>
        <v>0</v>
      </c>
      <c r="I13" s="4" t="n">
        <f aca="false">COUNTIFS(問題一覧!$C$5:$C$254,$A13,問題一覧!$A$5:$A$254,2019)</f>
        <v>1</v>
      </c>
      <c r="J13" s="4" t="n">
        <f aca="false">COUNTIFS(問題一覧!$C$5:$C$254,$A13,問題一覧!$A$5:$A$254,2021)</f>
        <v>1</v>
      </c>
      <c r="K13" s="4" t="n">
        <f aca="false">COUNTIFS(問題一覧!$C$5:$C$254,$A13,問題一覧!$A$5:$A$254,2022)</f>
        <v>1</v>
      </c>
      <c r="L13" s="4" t="n">
        <f aca="false">COUNTIFS(問題一覧!$C$5:$C$254,$A13,問題一覧!$A$5:$A$254,2023)</f>
        <v>1</v>
      </c>
      <c r="M13" s="4" t="n">
        <f aca="false">COUNTIFS(問題一覧!$C$5:$C$254,$A13,問題一覧!$A$5:$A$254,2024)</f>
        <v>1</v>
      </c>
      <c r="N13" s="4" t="n">
        <f aca="false">COUNTIFS(問題一覧!$C$5:$C$254,$A13,問題一覧!$A$5:$A$254,2025)</f>
        <v>1</v>
      </c>
    </row>
    <row r="14" customFormat="false" ht="15" hidden="false" customHeight="false" outlineLevel="0" collapsed="false">
      <c r="A14" s="8" t="s">
        <v>109</v>
      </c>
      <c r="B14" s="4" t="n">
        <f aca="false">COUNTIF(問題一覧!$C$5:$C$254,A14)</f>
        <v>3</v>
      </c>
      <c r="C14" s="4" t="n">
        <f aca="false">COUNTIFS(問題一覧!$C$5:$C$254,A14,問題一覧!$E$5:$E$254,"&gt;=0")</f>
        <v>0</v>
      </c>
      <c r="D14" s="4" t="n">
        <f aca="false">B14-C14</f>
        <v>3</v>
      </c>
      <c r="E14" s="4" t="n">
        <f aca="false">COUNTIFS(問題一覧!$C$5:$C$254,$A14,問題一覧!$A$5:$A$254,2015)</f>
        <v>0</v>
      </c>
      <c r="F14" s="4" t="n">
        <f aca="false">COUNTIFS(問題一覧!$C$5:$C$254,$A14,問題一覧!$A$5:$A$254,2016)</f>
        <v>0</v>
      </c>
      <c r="G14" s="4" t="n">
        <f aca="false">COUNTIFS(問題一覧!$C$5:$C$254,$A14,問題一覧!$A$5:$A$254,2017)</f>
        <v>0</v>
      </c>
      <c r="H14" s="4" t="n">
        <f aca="false">COUNTIFS(問題一覧!$C$5:$C$254,$A14,問題一覧!$A$5:$A$254,2018)</f>
        <v>0</v>
      </c>
      <c r="I14" s="4" t="n">
        <f aca="false">COUNTIFS(問題一覧!$C$5:$C$254,$A14,問題一覧!$A$5:$A$254,2019)</f>
        <v>1</v>
      </c>
      <c r="J14" s="4" t="n">
        <f aca="false">COUNTIFS(問題一覧!$C$5:$C$254,$A14,問題一覧!$A$5:$A$254,2021)</f>
        <v>0</v>
      </c>
      <c r="K14" s="4" t="n">
        <f aca="false">COUNTIFS(問題一覧!$C$5:$C$254,$A14,問題一覧!$A$5:$A$254,2022)</f>
        <v>0</v>
      </c>
      <c r="L14" s="4" t="n">
        <f aca="false">COUNTIFS(問題一覧!$C$5:$C$254,$A14,問題一覧!$A$5:$A$254,2023)</f>
        <v>0</v>
      </c>
      <c r="M14" s="4" t="n">
        <f aca="false">COUNTIFS(問題一覧!$C$5:$C$254,$A14,問題一覧!$A$5:$A$254,2024)</f>
        <v>1</v>
      </c>
      <c r="N14" s="4" t="n">
        <f aca="false">COUNTIFS(問題一覧!$C$5:$C$254,$A14,問題一覧!$A$5:$A$254,2025)</f>
        <v>1</v>
      </c>
    </row>
    <row r="15" customFormat="false" ht="15" hidden="false" customHeight="false" outlineLevel="0" collapsed="false">
      <c r="A15" s="13" t="s">
        <v>250</v>
      </c>
      <c r="B15" s="13" t="n">
        <f aca="false">SUM(B5:B14)</f>
        <v>250</v>
      </c>
      <c r="C15" s="13" t="n">
        <f aca="false">SUM(C5:C14)</f>
        <v>96</v>
      </c>
      <c r="D15" s="13" t="n">
        <f aca="false">SUM(D5:D14)</f>
        <v>154</v>
      </c>
      <c r="E15" s="13" t="n">
        <f aca="false">SUM(E5:E14)</f>
        <v>25</v>
      </c>
      <c r="F15" s="13" t="n">
        <f aca="false">SUM(F5:F14)</f>
        <v>25</v>
      </c>
      <c r="G15" s="13" t="n">
        <f aca="false">SUM(G5:G14)</f>
        <v>25</v>
      </c>
      <c r="H15" s="13" t="n">
        <f aca="false">SUM(H5:H14)</f>
        <v>25</v>
      </c>
      <c r="I15" s="13" t="n">
        <f aca="false">SUM(I5:I14)</f>
        <v>25</v>
      </c>
      <c r="J15" s="13" t="n">
        <f aca="false">SUM(J5:J14)</f>
        <v>25</v>
      </c>
      <c r="K15" s="13" t="n">
        <f aca="false">SUM(K5:K14)</f>
        <v>25</v>
      </c>
      <c r="L15" s="13" t="n">
        <f aca="false">SUM(L5:L14)</f>
        <v>25</v>
      </c>
      <c r="M15" s="13" t="n">
        <f aca="false">SUM(M5:M14)</f>
        <v>25</v>
      </c>
      <c r="N15" s="13" t="n">
        <f aca="false">SUM(N5:N14)</f>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7"/>
    <col collapsed="false" customWidth="true" hidden="false" outlineLevel="0" max="5" min="3" style="0" width="13"/>
    <col collapsed="false" customWidth="true" hidden="false" outlineLevel="0" max="7" min="6" style="0" width="10"/>
  </cols>
  <sheetData>
    <row r="1" customFormat="false" ht="21.6" hidden="false" customHeight="false" outlineLevel="0" collapsed="false">
      <c r="A1" s="1" t="s">
        <v>251</v>
      </c>
    </row>
    <row r="2" customFormat="false" ht="15" hidden="false" customHeight="false" outlineLevel="0" collapsed="false">
      <c r="A2" s="2" t="s">
        <v>252</v>
      </c>
    </row>
    <row r="4" customFormat="false" ht="15" hidden="false" customHeight="false" outlineLevel="0" collapsed="false">
      <c r="A4" s="3" t="s">
        <v>143</v>
      </c>
      <c r="B4" s="3" t="s">
        <v>253</v>
      </c>
      <c r="C4" s="3" t="s">
        <v>254</v>
      </c>
      <c r="D4" s="3" t="s">
        <v>255</v>
      </c>
      <c r="E4" s="3" t="s">
        <v>256</v>
      </c>
      <c r="F4" s="12" t="s">
        <v>257</v>
      </c>
      <c r="G4" s="3" t="s">
        <v>258</v>
      </c>
    </row>
    <row r="5" customFormat="false" ht="15" hidden="false" customHeight="false" outlineLevel="0" collapsed="false">
      <c r="A5" s="8" t="s">
        <v>38</v>
      </c>
      <c r="B5" s="14" t="s">
        <v>259</v>
      </c>
      <c r="C5" s="15" t="n">
        <f aca="false">AVERAGE(INDEX(分野別!$J$5:$N$14,MATCH(A5,分野別!$A$5:$A$14,0),0))</f>
        <v>10.2</v>
      </c>
      <c r="D5" s="4" t="n">
        <f aca="false">MIN(INDEX(分野別!$J$5:$N$14,MATCH(A5,分野別!$A$5:$A$14,0),0))</f>
        <v>9</v>
      </c>
      <c r="E5" s="4" t="n">
        <f aca="false">MAX(INDEX(分野別!$J$5:$N$14,MATCH(A5,分野別!$A$5:$A$14,0),0))</f>
        <v>12</v>
      </c>
      <c r="F5" s="15" t="n">
        <f aca="false">AVERAGE(INDEX(分野別!$E$5:$N$14,MATCH(A5,分野別!$A$5:$A$14,0),0))</f>
        <v>10.5</v>
      </c>
      <c r="G5" s="6" t="n">
        <v>10</v>
      </c>
    </row>
    <row r="6" customFormat="false" ht="15" hidden="false" customHeight="false" outlineLevel="0" collapsed="false">
      <c r="A6" s="8" t="s">
        <v>64</v>
      </c>
      <c r="B6" s="14" t="s">
        <v>259</v>
      </c>
      <c r="C6" s="15" t="n">
        <f aca="false">AVERAGE(INDEX(分野別!$J$5:$N$14,MATCH(A6,分野別!$A$5:$A$14,0),0))</f>
        <v>4.8</v>
      </c>
      <c r="D6" s="4" t="n">
        <f aca="false">MIN(INDEX(分野別!$J$5:$N$14,MATCH(A6,分野別!$A$5:$A$14,0),0))</f>
        <v>4</v>
      </c>
      <c r="E6" s="4" t="n">
        <f aca="false">MAX(INDEX(分野別!$J$5:$N$14,MATCH(A6,分野別!$A$5:$A$14,0),0))</f>
        <v>5</v>
      </c>
      <c r="F6" s="15" t="n">
        <f aca="false">AVERAGE(INDEX(分野別!$E$5:$N$14,MATCH(A6,分野別!$A$5:$A$14,0),0))</f>
        <v>4</v>
      </c>
      <c r="G6" s="6" t="n">
        <v>5</v>
      </c>
    </row>
    <row r="7" customFormat="false" ht="15" hidden="false" customHeight="false" outlineLevel="0" collapsed="false">
      <c r="A7" s="8" t="s">
        <v>44</v>
      </c>
      <c r="B7" s="14" t="s">
        <v>260</v>
      </c>
      <c r="C7" s="15" t="n">
        <f aca="false">AVERAGE(INDEX(分野別!$J$5:$N$14,MATCH(A7,分野別!$A$5:$A$14,0),0))</f>
        <v>2</v>
      </c>
      <c r="D7" s="4" t="n">
        <f aca="false">MIN(INDEX(分野別!$J$5:$N$14,MATCH(A7,分野別!$A$5:$A$14,0),0))</f>
        <v>1</v>
      </c>
      <c r="E7" s="4" t="n">
        <f aca="false">MAX(INDEX(分野別!$J$5:$N$14,MATCH(A7,分野別!$A$5:$A$14,0),0))</f>
        <v>3</v>
      </c>
      <c r="F7" s="15" t="n">
        <f aca="false">AVERAGE(INDEX(分野別!$E$5:$N$14,MATCH(A7,分野別!$A$5:$A$14,0),0))</f>
        <v>2.3</v>
      </c>
      <c r="G7" s="6" t="n">
        <v>2</v>
      </c>
    </row>
    <row r="8" customFormat="false" ht="15" hidden="false" customHeight="false" outlineLevel="0" collapsed="false">
      <c r="A8" s="8" t="s">
        <v>52</v>
      </c>
      <c r="B8" s="14" t="s">
        <v>259</v>
      </c>
      <c r="C8" s="15" t="n">
        <f aca="false">AVERAGE(INDEX(分野別!$J$5:$N$14,MATCH(A8,分野別!$A$5:$A$14,0),0))</f>
        <v>1.4</v>
      </c>
      <c r="D8" s="4" t="n">
        <f aca="false">MIN(INDEX(分野別!$J$5:$N$14,MATCH(A8,分野別!$A$5:$A$14,0),0))</f>
        <v>1</v>
      </c>
      <c r="E8" s="4" t="n">
        <f aca="false">MAX(INDEX(分野別!$J$5:$N$14,MATCH(A8,分野別!$A$5:$A$14,0),0))</f>
        <v>2</v>
      </c>
      <c r="F8" s="15" t="n">
        <f aca="false">AVERAGE(INDEX(分野別!$E$5:$N$14,MATCH(A8,分野別!$A$5:$A$14,0),0))</f>
        <v>1.9</v>
      </c>
      <c r="G8" s="6" t="n">
        <v>2</v>
      </c>
    </row>
    <row r="9" customFormat="false" ht="15" hidden="false" customHeight="false" outlineLevel="0" collapsed="false">
      <c r="A9" s="8" t="s">
        <v>60</v>
      </c>
      <c r="B9" s="14" t="s">
        <v>260</v>
      </c>
      <c r="C9" s="15" t="n">
        <f aca="false">AVERAGE(INDEX(分野別!$J$5:$N$14,MATCH(A9,分野別!$A$5:$A$14,0),0))</f>
        <v>1.6</v>
      </c>
      <c r="D9" s="4" t="n">
        <f aca="false">MIN(INDEX(分野別!$J$5:$N$14,MATCH(A9,分野別!$A$5:$A$14,0),0))</f>
        <v>1</v>
      </c>
      <c r="E9" s="4" t="n">
        <f aca="false">MAX(INDEX(分野別!$J$5:$N$14,MATCH(A9,分野別!$A$5:$A$14,0),0))</f>
        <v>3</v>
      </c>
      <c r="F9" s="15" t="n">
        <f aca="false">AVERAGE(INDEX(分野別!$E$5:$N$14,MATCH(A9,分野別!$A$5:$A$14,0),0))</f>
        <v>1.4</v>
      </c>
      <c r="G9" s="6" t="n">
        <v>1</v>
      </c>
    </row>
    <row r="10" customFormat="false" ht="15" hidden="false" customHeight="false" outlineLevel="0" collapsed="false">
      <c r="A10" s="8" t="s">
        <v>50</v>
      </c>
      <c r="B10" s="14" t="s">
        <v>260</v>
      </c>
      <c r="C10" s="15" t="n">
        <f aca="false">AVERAGE(INDEX(分野別!$J$5:$N$14,MATCH(A10,分野別!$A$5:$A$14,0),0))</f>
        <v>1.4</v>
      </c>
      <c r="D10" s="4" t="n">
        <f aca="false">MIN(INDEX(分野別!$J$5:$N$14,MATCH(A10,分野別!$A$5:$A$14,0),0))</f>
        <v>0</v>
      </c>
      <c r="E10" s="4" t="n">
        <f aca="false">MAX(INDEX(分野別!$J$5:$N$14,MATCH(A10,分野別!$A$5:$A$14,0),0))</f>
        <v>2</v>
      </c>
      <c r="F10" s="15" t="n">
        <f aca="false">AVERAGE(INDEX(分野別!$E$5:$N$14,MATCH(A10,分野別!$A$5:$A$14,0),0))</f>
        <v>1.4</v>
      </c>
      <c r="G10" s="6" t="n">
        <v>1</v>
      </c>
    </row>
    <row r="11" customFormat="false" ht="15" hidden="false" customHeight="false" outlineLevel="0" collapsed="false">
      <c r="A11" s="8" t="s">
        <v>56</v>
      </c>
      <c r="B11" s="14" t="s">
        <v>260</v>
      </c>
      <c r="C11" s="15" t="n">
        <f aca="false">AVERAGE(INDEX(分野別!$J$5:$N$14,MATCH(A11,分野別!$A$5:$A$14,0),0))</f>
        <v>1</v>
      </c>
      <c r="D11" s="4" t="n">
        <f aca="false">MIN(INDEX(分野別!$J$5:$N$14,MATCH(A11,分野別!$A$5:$A$14,0),0))</f>
        <v>1</v>
      </c>
      <c r="E11" s="4" t="n">
        <f aca="false">MAX(INDEX(分野別!$J$5:$N$14,MATCH(A11,分野別!$A$5:$A$14,0),0))</f>
        <v>1</v>
      </c>
      <c r="F11" s="15" t="n">
        <f aca="false">AVERAGE(INDEX(分野別!$E$5:$N$14,MATCH(A11,分野別!$A$5:$A$14,0),0))</f>
        <v>1.2</v>
      </c>
      <c r="G11" s="6" t="n">
        <v>1</v>
      </c>
    </row>
    <row r="12" customFormat="false" ht="15" hidden="false" customHeight="false" outlineLevel="0" collapsed="false">
      <c r="A12" s="8" t="s">
        <v>78</v>
      </c>
      <c r="B12" s="14" t="s">
        <v>260</v>
      </c>
      <c r="C12" s="15" t="n">
        <f aca="false">AVERAGE(INDEX(分野別!$J$5:$N$14,MATCH(A12,分野別!$A$5:$A$14,0),0))</f>
        <v>1.2</v>
      </c>
      <c r="D12" s="4" t="n">
        <f aca="false">MIN(INDEX(分野別!$J$5:$N$14,MATCH(A12,分野別!$A$5:$A$14,0),0))</f>
        <v>0</v>
      </c>
      <c r="E12" s="4" t="n">
        <f aca="false">MAX(INDEX(分野別!$J$5:$N$14,MATCH(A12,分野別!$A$5:$A$14,0),0))</f>
        <v>2</v>
      </c>
      <c r="F12" s="15" t="n">
        <f aca="false">AVERAGE(INDEX(分野別!$E$5:$N$14,MATCH(A12,分野別!$A$5:$A$14,0),0))</f>
        <v>1.2</v>
      </c>
      <c r="G12" s="6" t="n">
        <v>1</v>
      </c>
    </row>
    <row r="13" customFormat="false" ht="15" hidden="false" customHeight="false" outlineLevel="0" collapsed="false">
      <c r="A13" s="8" t="s">
        <v>62</v>
      </c>
      <c r="B13" s="14" t="s">
        <v>260</v>
      </c>
      <c r="C13" s="15" t="n">
        <f aca="false">AVERAGE(INDEX(分野別!$J$5:$N$14,MATCH(A13,分野別!$A$5:$A$14,0),0))</f>
        <v>1</v>
      </c>
      <c r="D13" s="4" t="n">
        <f aca="false">MIN(INDEX(分野別!$J$5:$N$14,MATCH(A13,分野別!$A$5:$A$14,0),0))</f>
        <v>1</v>
      </c>
      <c r="E13" s="4" t="n">
        <f aca="false">MAX(INDEX(分野別!$J$5:$N$14,MATCH(A13,分野別!$A$5:$A$14,0),0))</f>
        <v>1</v>
      </c>
      <c r="F13" s="15" t="n">
        <f aca="false">AVERAGE(INDEX(分野別!$E$5:$N$14,MATCH(A13,分野別!$A$5:$A$14,0),0))</f>
        <v>0.8</v>
      </c>
      <c r="G13" s="6" t="n">
        <v>1</v>
      </c>
    </row>
    <row r="14" customFormat="false" ht="15" hidden="false" customHeight="false" outlineLevel="0" collapsed="false">
      <c r="A14" s="8" t="s">
        <v>109</v>
      </c>
      <c r="B14" s="14" t="s">
        <v>260</v>
      </c>
      <c r="C14" s="15" t="n">
        <f aca="false">AVERAGE(INDEX(分野別!$J$5:$N$14,MATCH(A14,分野別!$A$5:$A$14,0),0))</f>
        <v>0.4</v>
      </c>
      <c r="D14" s="4" t="n">
        <f aca="false">MIN(INDEX(分野別!$J$5:$N$14,MATCH(A14,分野別!$A$5:$A$14,0),0))</f>
        <v>0</v>
      </c>
      <c r="E14" s="4" t="n">
        <f aca="false">MAX(INDEX(分野別!$J$5:$N$14,MATCH(A14,分野別!$A$5:$A$14,0),0))</f>
        <v>1</v>
      </c>
      <c r="F14" s="15" t="n">
        <f aca="false">AVERAGE(INDEX(分野別!$E$5:$N$14,MATCH(A14,分野別!$A$5:$A$14,0),0))</f>
        <v>0.3</v>
      </c>
      <c r="G14" s="6" t="n">
        <v>1</v>
      </c>
    </row>
    <row r="15" customFormat="false" ht="15" hidden="false" customHeight="false" outlineLevel="0" collapsed="false">
      <c r="A15" s="13" t="s">
        <v>250</v>
      </c>
      <c r="B15" s="13"/>
      <c r="C15" s="13"/>
      <c r="D15" s="13"/>
      <c r="E15" s="13"/>
      <c r="F15" s="13"/>
      <c r="G15" s="13" t="n">
        <f aca="false">SUM(G5:G14)</f>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0"/>
    <col collapsed="false" customWidth="true" hidden="false" outlineLevel="0" max="3" min="3" style="0" width="24"/>
    <col collapsed="false" customWidth="true" hidden="false" outlineLevel="0" max="4" min="4" style="0" width="8"/>
    <col collapsed="false" customWidth="true" hidden="false" outlineLevel="0" max="5" min="5" style="0" width="10"/>
    <col collapsed="false" customWidth="true" hidden="false" outlineLevel="0" max="7" min="6" style="0" width="9"/>
    <col collapsed="false" customWidth="true" hidden="false" outlineLevel="0" max="8" min="8" style="0" width="22"/>
    <col collapsed="false" customWidth="true" hidden="false" outlineLevel="0" max="9" min="9" style="0" width="90"/>
  </cols>
  <sheetData>
    <row r="1" customFormat="false" ht="21.6" hidden="false" customHeight="false" outlineLevel="0" collapsed="false">
      <c r="A1" s="1" t="s">
        <v>261</v>
      </c>
    </row>
    <row r="2" customFormat="false" ht="30" hidden="false" customHeight="true" outlineLevel="0" collapsed="false">
      <c r="A2" s="16" t="s">
        <v>262</v>
      </c>
      <c r="B2" s="16"/>
      <c r="C2" s="16"/>
      <c r="D2" s="16"/>
      <c r="E2" s="16"/>
      <c r="F2" s="16"/>
      <c r="G2" s="16"/>
      <c r="H2" s="16"/>
      <c r="I2" s="16"/>
    </row>
    <row r="4" customFormat="false" ht="29.85" hidden="false" customHeight="false" outlineLevel="0" collapsed="false">
      <c r="A4" s="3" t="s">
        <v>263</v>
      </c>
      <c r="B4" s="3" t="s">
        <v>36</v>
      </c>
      <c r="C4" s="3" t="s">
        <v>143</v>
      </c>
      <c r="D4" s="3" t="s">
        <v>264</v>
      </c>
      <c r="E4" s="3" t="s">
        <v>238</v>
      </c>
      <c r="F4" s="3" t="s">
        <v>265</v>
      </c>
      <c r="G4" s="3" t="s">
        <v>266</v>
      </c>
      <c r="H4" s="3" t="s">
        <v>267</v>
      </c>
      <c r="I4" s="3" t="s">
        <v>268</v>
      </c>
    </row>
    <row r="5" customFormat="false" ht="44" hidden="false" customHeight="false" outlineLevel="0" collapsed="false">
      <c r="A5" s="17" t="str">
        <f aca="false">IF(OR(D5&gt;=5,F5&gt;=3),"A",IF(OR(D5&gt;=3,F5&gt;=2),"B","C"))</f>
        <v>A</v>
      </c>
      <c r="B5" s="5" t="s">
        <v>43</v>
      </c>
      <c r="C5" s="11" t="s">
        <v>38</v>
      </c>
      <c r="D5" s="4" t="n">
        <f aca="false">COUNTIF(問題一覧!$D$5:$D$254,B5)</f>
        <v>11</v>
      </c>
      <c r="E5" s="4" t="n">
        <f aca="false">COUNTIFS(問題一覧!$D$5:$D$254,B5,問題一覧!$E$5:$E$254,"&gt;=0")</f>
        <v>7</v>
      </c>
      <c r="F5" s="4" t="n">
        <f aca="false">COUNTIFS(問題一覧!$D$5:$D$254,B5,問題一覧!$A$5:$A$254,"&gt;=2023")</f>
        <v>4</v>
      </c>
      <c r="G5" s="4" t="n">
        <f aca="false">_xlfn.MAXIFS(問題一覧!$A$5:$A$254,問題一覧!$D$5:$D$254,B5)</f>
        <v>2025</v>
      </c>
      <c r="H5" s="11" t="s">
        <v>269</v>
      </c>
      <c r="I5" s="11" t="s">
        <v>270</v>
      </c>
    </row>
    <row r="6" customFormat="false" ht="29.85" hidden="false" customHeight="false" outlineLevel="0" collapsed="false">
      <c r="A6" s="17" t="str">
        <f aca="false">IF(OR(D6&gt;=5,F6&gt;=3),"A",IF(OR(D6&gt;=3,F6&gt;=2),"B","C"))</f>
        <v>A</v>
      </c>
      <c r="B6" s="5" t="s">
        <v>66</v>
      </c>
      <c r="C6" s="11" t="s">
        <v>64</v>
      </c>
      <c r="D6" s="4" t="n">
        <f aca="false">COUNTIF(問題一覧!$D$5:$D$254,B6)</f>
        <v>10</v>
      </c>
      <c r="E6" s="4" t="n">
        <f aca="false">COUNTIFS(問題一覧!$D$5:$D$254,B6,問題一覧!$E$5:$E$254,"&gt;=0")</f>
        <v>7</v>
      </c>
      <c r="F6" s="4" t="n">
        <f aca="false">COUNTIFS(問題一覧!$D$5:$D$254,B6,問題一覧!$A$5:$A$254,"&gt;=2023")</f>
        <v>5</v>
      </c>
      <c r="G6" s="4" t="n">
        <f aca="false">_xlfn.MAXIFS(問題一覧!$A$5:$A$254,問題一覧!$D$5:$D$254,B6)</f>
        <v>2024</v>
      </c>
      <c r="H6" s="11" t="s">
        <v>271</v>
      </c>
      <c r="I6" s="5" t="s">
        <v>272</v>
      </c>
    </row>
    <row r="7" customFormat="false" ht="44" hidden="false" customHeight="false" outlineLevel="0" collapsed="false">
      <c r="A7" s="17" t="str">
        <f aca="false">IF(OR(D7&gt;=5,F7&gt;=3),"A",IF(OR(D7&gt;=3,F7&gt;=2),"B","C"))</f>
        <v>A</v>
      </c>
      <c r="B7" s="11" t="s">
        <v>39</v>
      </c>
      <c r="C7" s="11" t="s">
        <v>38</v>
      </c>
      <c r="D7" s="4" t="n">
        <f aca="false">COUNTIF(問題一覧!$D$5:$D$254,B7)</f>
        <v>9</v>
      </c>
      <c r="E7" s="4" t="n">
        <f aca="false">COUNTIFS(問題一覧!$D$5:$D$254,B7,問題一覧!$E$5:$E$254,"&gt;=0")</f>
        <v>0</v>
      </c>
      <c r="F7" s="4" t="n">
        <f aca="false">COUNTIFS(問題一覧!$D$5:$D$254,B7,問題一覧!$A$5:$A$254,"&gt;=2023")</f>
        <v>3</v>
      </c>
      <c r="G7" s="4" t="n">
        <f aca="false">_xlfn.MAXIFS(問題一覧!$A$5:$A$254,問題一覧!$D$5:$D$254,B7)</f>
        <v>2024</v>
      </c>
      <c r="H7" s="11" t="s">
        <v>273</v>
      </c>
      <c r="I7" s="5" t="s">
        <v>274</v>
      </c>
    </row>
    <row r="8" customFormat="false" ht="44" hidden="false" customHeight="false" outlineLevel="0" collapsed="false">
      <c r="A8" s="17" t="str">
        <f aca="false">IF(OR(D8&gt;=5,F8&gt;=3),"A",IF(OR(D8&gt;=3,F8&gt;=2),"B","C"))</f>
        <v>A</v>
      </c>
      <c r="B8" s="5" t="s">
        <v>86</v>
      </c>
      <c r="C8" s="11" t="s">
        <v>38</v>
      </c>
      <c r="D8" s="4" t="n">
        <f aca="false">COUNTIF(問題一覧!$D$5:$D$254,B8)</f>
        <v>7</v>
      </c>
      <c r="E8" s="4" t="n">
        <f aca="false">COUNTIFS(問題一覧!$D$5:$D$254,B8,問題一覧!$E$5:$E$254,"&gt;=0")</f>
        <v>2</v>
      </c>
      <c r="F8" s="4" t="n">
        <f aca="false">COUNTIFS(問題一覧!$D$5:$D$254,B8,問題一覧!$A$5:$A$254,"&gt;=2023")</f>
        <v>2</v>
      </c>
      <c r="G8" s="4" t="n">
        <f aca="false">_xlfn.MAXIFS(問題一覧!$A$5:$A$254,問題一覧!$D$5:$D$254,B8)</f>
        <v>2025</v>
      </c>
      <c r="H8" s="11" t="s">
        <v>275</v>
      </c>
      <c r="I8" s="5" t="s">
        <v>276</v>
      </c>
    </row>
    <row r="9" customFormat="false" ht="29.85" hidden="false" customHeight="false" outlineLevel="0" collapsed="false">
      <c r="A9" s="17" t="str">
        <f aca="false">IF(OR(D9&gt;=5,F9&gt;=3),"A",IF(OR(D9&gt;=3,F9&gt;=2),"B","C"))</f>
        <v>A</v>
      </c>
      <c r="B9" s="5" t="s">
        <v>84</v>
      </c>
      <c r="C9" s="11" t="s">
        <v>64</v>
      </c>
      <c r="D9" s="4" t="n">
        <f aca="false">COUNTIF(問題一覧!$D$5:$D$254,B9)</f>
        <v>7</v>
      </c>
      <c r="E9" s="4" t="n">
        <f aca="false">COUNTIFS(問題一覧!$D$5:$D$254,B9,問題一覧!$E$5:$E$254,"&gt;=0")</f>
        <v>4</v>
      </c>
      <c r="F9" s="4" t="n">
        <f aca="false">COUNTIFS(問題一覧!$D$5:$D$254,B9,問題一覧!$A$5:$A$254,"&gt;=2023")</f>
        <v>2</v>
      </c>
      <c r="G9" s="4" t="n">
        <f aca="false">_xlfn.MAXIFS(問題一覧!$A$5:$A$254,問題一覧!$D$5:$D$254,B9)</f>
        <v>2024</v>
      </c>
      <c r="H9" s="11" t="s">
        <v>277</v>
      </c>
      <c r="I9" s="5" t="s">
        <v>278</v>
      </c>
    </row>
    <row r="10" customFormat="false" ht="29.85" hidden="false" customHeight="false" outlineLevel="0" collapsed="false">
      <c r="A10" s="17" t="str">
        <f aca="false">IF(OR(D10&gt;=5,F10&gt;=3),"A",IF(OR(D10&gt;=3,F10&gt;=2),"B","C"))</f>
        <v>A</v>
      </c>
      <c r="B10" s="5" t="s">
        <v>48</v>
      </c>
      <c r="C10" s="11" t="s">
        <v>38</v>
      </c>
      <c r="D10" s="4" t="n">
        <f aca="false">COUNTIF(問題一覧!$D$5:$D$254,B10)</f>
        <v>7</v>
      </c>
      <c r="E10" s="4" t="n">
        <f aca="false">COUNTIFS(問題一覧!$D$5:$D$254,B10,問題一覧!$E$5:$E$254,"&gt;=0")</f>
        <v>2</v>
      </c>
      <c r="F10" s="4" t="n">
        <f aca="false">COUNTIFS(問題一覧!$D$5:$D$254,B10,問題一覧!$A$5:$A$254,"&gt;=2023")</f>
        <v>0</v>
      </c>
      <c r="G10" s="4" t="n">
        <f aca="false">_xlfn.MAXIFS(問題一覧!$A$5:$A$254,問題一覧!$D$5:$D$254,B10)</f>
        <v>2021</v>
      </c>
      <c r="H10" s="11" t="s">
        <v>279</v>
      </c>
      <c r="I10" s="5" t="s">
        <v>280</v>
      </c>
    </row>
    <row r="11" customFormat="false" ht="29.85" hidden="false" customHeight="false" outlineLevel="0" collapsed="false">
      <c r="A11" s="17" t="str">
        <f aca="false">IF(OR(D11&gt;=5,F11&gt;=3),"A",IF(OR(D11&gt;=3,F11&gt;=2),"B","C"))</f>
        <v>A</v>
      </c>
      <c r="B11" s="5" t="s">
        <v>54</v>
      </c>
      <c r="C11" s="11" t="s">
        <v>52</v>
      </c>
      <c r="D11" s="4" t="n">
        <f aca="false">COUNTIF(問題一覧!$D$5:$D$254,B11)</f>
        <v>6</v>
      </c>
      <c r="E11" s="4" t="n">
        <f aca="false">COUNTIFS(問題一覧!$D$5:$D$254,B11,問題一覧!$E$5:$E$254,"&gt;=0")</f>
        <v>5</v>
      </c>
      <c r="F11" s="4" t="n">
        <f aca="false">COUNTIFS(問題一覧!$D$5:$D$254,B11,問題一覧!$A$5:$A$254,"&gt;=2023")</f>
        <v>2</v>
      </c>
      <c r="G11" s="4" t="n">
        <f aca="false">_xlfn.MAXIFS(問題一覧!$A$5:$A$254,問題一覧!$D$5:$D$254,B11)</f>
        <v>2025</v>
      </c>
      <c r="H11" s="11" t="s">
        <v>281</v>
      </c>
      <c r="I11" s="5" t="s">
        <v>282</v>
      </c>
    </row>
    <row r="12" customFormat="false" ht="29.85" hidden="false" customHeight="false" outlineLevel="0" collapsed="false">
      <c r="A12" s="17" t="str">
        <f aca="false">IF(OR(D12&gt;=5,F12&gt;=3),"A",IF(OR(D12&gt;=3,F12&gt;=2),"B","C"))</f>
        <v>A</v>
      </c>
      <c r="B12" s="11" t="s">
        <v>68</v>
      </c>
      <c r="C12" s="11" t="s">
        <v>38</v>
      </c>
      <c r="D12" s="4" t="n">
        <f aca="false">COUNTIF(問題一覧!$D$5:$D$254,B12)</f>
        <v>6</v>
      </c>
      <c r="E12" s="4" t="n">
        <f aca="false">COUNTIFS(問題一覧!$D$5:$D$254,B12,問題一覧!$E$5:$E$254,"&gt;=0")</f>
        <v>2</v>
      </c>
      <c r="F12" s="4" t="n">
        <f aca="false">COUNTIFS(問題一覧!$D$5:$D$254,B12,問題一覧!$A$5:$A$254,"&gt;=2023")</f>
        <v>2</v>
      </c>
      <c r="G12" s="4" t="n">
        <f aca="false">_xlfn.MAXIFS(問題一覧!$A$5:$A$254,問題一覧!$D$5:$D$254,B12)</f>
        <v>2025</v>
      </c>
      <c r="H12" s="11" t="s">
        <v>283</v>
      </c>
      <c r="I12" s="11" t="s">
        <v>284</v>
      </c>
    </row>
    <row r="13" customFormat="false" ht="29.85" hidden="false" customHeight="false" outlineLevel="0" collapsed="false">
      <c r="A13" s="17" t="str">
        <f aca="false">IF(OR(D13&gt;=5,F13&gt;=3),"A",IF(OR(D13&gt;=3,F13&gt;=2),"B","C"))</f>
        <v>A</v>
      </c>
      <c r="B13" s="5" t="s">
        <v>103</v>
      </c>
      <c r="C13" s="11" t="s">
        <v>38</v>
      </c>
      <c r="D13" s="4" t="n">
        <f aca="false">COUNTIF(問題一覧!$D$5:$D$254,B13)</f>
        <v>6</v>
      </c>
      <c r="E13" s="4" t="n">
        <f aca="false">COUNTIFS(問題一覧!$D$5:$D$254,B13,問題一覧!$E$5:$E$254,"&gt;=0")</f>
        <v>2</v>
      </c>
      <c r="F13" s="4" t="n">
        <f aca="false">COUNTIFS(問題一覧!$D$5:$D$254,B13,問題一覧!$A$5:$A$254,"&gt;=2023")</f>
        <v>3</v>
      </c>
      <c r="G13" s="4" t="n">
        <f aca="false">_xlfn.MAXIFS(問題一覧!$A$5:$A$254,問題一覧!$D$5:$D$254,B13)</f>
        <v>2025</v>
      </c>
      <c r="H13" s="11" t="s">
        <v>285</v>
      </c>
      <c r="I13" s="5" t="s">
        <v>286</v>
      </c>
    </row>
    <row r="14" customFormat="false" ht="44" hidden="false" customHeight="false" outlineLevel="0" collapsed="false">
      <c r="A14" s="17" t="str">
        <f aca="false">IF(OR(D14&gt;=5,F14&gt;=3),"A",IF(OR(D14&gt;=3,F14&gt;=2),"B","C"))</f>
        <v>A</v>
      </c>
      <c r="B14" s="5" t="s">
        <v>85</v>
      </c>
      <c r="C14" s="11" t="s">
        <v>50</v>
      </c>
      <c r="D14" s="4" t="n">
        <f aca="false">COUNTIF(問題一覧!$D$5:$D$254,B14)</f>
        <v>6</v>
      </c>
      <c r="E14" s="4" t="n">
        <f aca="false">COUNTIFS(問題一覧!$D$5:$D$254,B14,問題一覧!$E$5:$E$254,"&gt;=0")</f>
        <v>4</v>
      </c>
      <c r="F14" s="4" t="n">
        <f aca="false">COUNTIFS(問題一覧!$D$5:$D$254,B14,問題一覧!$A$5:$A$254,"&gt;=2023")</f>
        <v>2</v>
      </c>
      <c r="G14" s="4" t="n">
        <f aca="false">_xlfn.MAXIFS(問題一覧!$A$5:$A$254,問題一覧!$D$5:$D$254,B14)</f>
        <v>2024</v>
      </c>
      <c r="H14" s="11" t="s">
        <v>287</v>
      </c>
      <c r="I14" s="5" t="s">
        <v>288</v>
      </c>
    </row>
    <row r="15" customFormat="false" ht="29.85" hidden="false" customHeight="false" outlineLevel="0" collapsed="false">
      <c r="A15" s="17" t="str">
        <f aca="false">IF(OR(D15&gt;=5,F15&gt;=3),"A",IF(OR(D15&gt;=3,F15&gt;=2),"B","C"))</f>
        <v>A</v>
      </c>
      <c r="B15" s="5" t="s">
        <v>46</v>
      </c>
      <c r="C15" s="11" t="s">
        <v>38</v>
      </c>
      <c r="D15" s="4" t="n">
        <f aca="false">COUNTIF(問題一覧!$D$5:$D$254,B15)</f>
        <v>6</v>
      </c>
      <c r="E15" s="4" t="n">
        <f aca="false">COUNTIFS(問題一覧!$D$5:$D$254,B15,問題一覧!$E$5:$E$254,"&gt;=0")</f>
        <v>2</v>
      </c>
      <c r="F15" s="4" t="n">
        <f aca="false">COUNTIFS(問題一覧!$D$5:$D$254,B15,問題一覧!$A$5:$A$254,"&gt;=2023")</f>
        <v>0</v>
      </c>
      <c r="G15" s="4" t="n">
        <f aca="false">_xlfn.MAXIFS(問題一覧!$A$5:$A$254,問題一覧!$D$5:$D$254,B15)</f>
        <v>2021</v>
      </c>
      <c r="H15" s="11" t="s">
        <v>289</v>
      </c>
      <c r="I15" s="5" t="s">
        <v>290</v>
      </c>
    </row>
    <row r="16" customFormat="false" ht="29.85" hidden="false" customHeight="false" outlineLevel="0" collapsed="false">
      <c r="A16" s="17" t="str">
        <f aca="false">IF(OR(D16&gt;=5,F16&gt;=3),"A",IF(OR(D16&gt;=3,F16&gt;=2),"B","C"))</f>
        <v>A</v>
      </c>
      <c r="B16" s="5" t="s">
        <v>82</v>
      </c>
      <c r="C16" s="11" t="s">
        <v>60</v>
      </c>
      <c r="D16" s="4" t="n">
        <f aca="false">COUNTIF(問題一覧!$D$5:$D$254,B16)</f>
        <v>5</v>
      </c>
      <c r="E16" s="4" t="n">
        <f aca="false">COUNTIFS(問題一覧!$D$5:$D$254,B16,問題一覧!$E$5:$E$254,"&gt;=0")</f>
        <v>0</v>
      </c>
      <c r="F16" s="4" t="n">
        <f aca="false">COUNTIFS(問題一覧!$D$5:$D$254,B16,問題一覧!$A$5:$A$254,"&gt;=2023")</f>
        <v>3</v>
      </c>
      <c r="G16" s="4" t="n">
        <f aca="false">_xlfn.MAXIFS(問題一覧!$A$5:$A$254,問題一覧!$D$5:$D$254,B16)</f>
        <v>2025</v>
      </c>
      <c r="H16" s="11" t="s">
        <v>291</v>
      </c>
      <c r="I16" s="11" t="s">
        <v>292</v>
      </c>
    </row>
    <row r="17" customFormat="false" ht="29.85" hidden="false" customHeight="false" outlineLevel="0" collapsed="false">
      <c r="A17" s="17" t="str">
        <f aca="false">IF(OR(D17&gt;=5,F17&gt;=3),"A",IF(OR(D17&gt;=3,F17&gt;=2),"B","C"))</f>
        <v>A</v>
      </c>
      <c r="B17" s="5" t="s">
        <v>58</v>
      </c>
      <c r="C17" s="11" t="s">
        <v>44</v>
      </c>
      <c r="D17" s="4" t="n">
        <f aca="false">COUNTIF(問題一覧!$D$5:$D$254,B17)</f>
        <v>5</v>
      </c>
      <c r="E17" s="4" t="n">
        <f aca="false">COUNTIFS(問題一覧!$D$5:$D$254,B17,問題一覧!$E$5:$E$254,"&gt;=0")</f>
        <v>2</v>
      </c>
      <c r="F17" s="4" t="n">
        <f aca="false">COUNTIFS(問題一覧!$D$5:$D$254,B17,問題一覧!$A$5:$A$254,"&gt;=2023")</f>
        <v>1</v>
      </c>
      <c r="G17" s="4" t="n">
        <f aca="false">_xlfn.MAXIFS(問題一覧!$A$5:$A$254,問題一覧!$D$5:$D$254,B17)</f>
        <v>2024</v>
      </c>
      <c r="H17" s="11" t="s">
        <v>293</v>
      </c>
      <c r="I17" s="5" t="s">
        <v>294</v>
      </c>
    </row>
    <row r="18" customFormat="false" ht="29.85" hidden="false" customHeight="false" outlineLevel="0" collapsed="false">
      <c r="A18" s="17" t="str">
        <f aca="false">IF(OR(D18&gt;=5,F18&gt;=3),"A",IF(OR(D18&gt;=3,F18&gt;=2),"B","C"))</f>
        <v>A</v>
      </c>
      <c r="B18" s="5" t="s">
        <v>83</v>
      </c>
      <c r="C18" s="11" t="s">
        <v>44</v>
      </c>
      <c r="D18" s="4" t="n">
        <f aca="false">COUNTIF(問題一覧!$D$5:$D$254,B18)</f>
        <v>5</v>
      </c>
      <c r="E18" s="4" t="n">
        <f aca="false">COUNTIFS(問題一覧!$D$5:$D$254,B18,問題一覧!$E$5:$E$254,"&gt;=0")</f>
        <v>2</v>
      </c>
      <c r="F18" s="4" t="n">
        <f aca="false">COUNTIFS(問題一覧!$D$5:$D$254,B18,問題一覧!$A$5:$A$254,"&gt;=2023")</f>
        <v>1</v>
      </c>
      <c r="G18" s="4" t="n">
        <f aca="false">_xlfn.MAXIFS(問題一覧!$A$5:$A$254,問題一覧!$D$5:$D$254,B18)</f>
        <v>2024</v>
      </c>
      <c r="H18" s="11" t="s">
        <v>295</v>
      </c>
      <c r="I18" s="11" t="s">
        <v>296</v>
      </c>
    </row>
    <row r="19" customFormat="false" ht="29.85" hidden="false" customHeight="false" outlineLevel="0" collapsed="false">
      <c r="A19" s="17" t="str">
        <f aca="false">IF(OR(D19&gt;=5,F19&gt;=3),"A",IF(OR(D19&gt;=3,F19&gt;=2),"B","C"))</f>
        <v>A</v>
      </c>
      <c r="B19" s="11" t="s">
        <v>96</v>
      </c>
      <c r="C19" s="11" t="s">
        <v>56</v>
      </c>
      <c r="D19" s="4" t="n">
        <f aca="false">COUNTIF(問題一覧!$D$5:$D$254,B19)</f>
        <v>5</v>
      </c>
      <c r="E19" s="4" t="n">
        <f aca="false">COUNTIFS(問題一覧!$D$5:$D$254,B19,問題一覧!$E$5:$E$254,"&gt;=0")</f>
        <v>0</v>
      </c>
      <c r="F19" s="4" t="n">
        <f aca="false">COUNTIFS(問題一覧!$D$5:$D$254,B19,問題一覧!$A$5:$A$254,"&gt;=2023")</f>
        <v>2</v>
      </c>
      <c r="G19" s="4" t="n">
        <f aca="false">_xlfn.MAXIFS(問題一覧!$A$5:$A$254,問題一覧!$D$5:$D$254,B19)</f>
        <v>2024</v>
      </c>
      <c r="H19" s="11" t="s">
        <v>297</v>
      </c>
      <c r="I19" s="5" t="s">
        <v>298</v>
      </c>
    </row>
    <row r="20" customFormat="false" ht="29.85" hidden="false" customHeight="false" outlineLevel="0" collapsed="false">
      <c r="A20" s="17" t="str">
        <f aca="false">IF(OR(D20&gt;=5,F20&gt;=3),"A",IF(OR(D20&gt;=3,F20&gt;=2),"B","C"))</f>
        <v>A</v>
      </c>
      <c r="B20" s="5" t="s">
        <v>115</v>
      </c>
      <c r="C20" s="11" t="s">
        <v>78</v>
      </c>
      <c r="D20" s="4" t="n">
        <f aca="false">COUNTIF(問題一覧!$D$5:$D$254,B20)</f>
        <v>5</v>
      </c>
      <c r="E20" s="4" t="n">
        <f aca="false">COUNTIFS(問題一覧!$D$5:$D$254,B20,問題一覧!$E$5:$E$254,"&gt;=0")</f>
        <v>0</v>
      </c>
      <c r="F20" s="4" t="n">
        <f aca="false">COUNTIFS(問題一覧!$D$5:$D$254,B20,問題一覧!$A$5:$A$254,"&gt;=2023")</f>
        <v>2</v>
      </c>
      <c r="G20" s="4" t="n">
        <f aca="false">_xlfn.MAXIFS(問題一覧!$A$5:$A$254,問題一覧!$D$5:$D$254,B20)</f>
        <v>2024</v>
      </c>
      <c r="H20" s="11" t="s">
        <v>299</v>
      </c>
      <c r="I20" s="5" t="s">
        <v>300</v>
      </c>
    </row>
    <row r="21" customFormat="false" ht="29.85" hidden="false" customHeight="false" outlineLevel="0" collapsed="false">
      <c r="A21" s="17" t="str">
        <f aca="false">IF(OR(D21&gt;=5,F21&gt;=3),"A",IF(OR(D21&gt;=3,F21&gt;=2),"B","C"))</f>
        <v>A</v>
      </c>
      <c r="B21" s="11" t="s">
        <v>67</v>
      </c>
      <c r="C21" s="11" t="s">
        <v>64</v>
      </c>
      <c r="D21" s="4" t="n">
        <f aca="false">COUNTIF(問題一覧!$D$5:$D$254,B21)</f>
        <v>5</v>
      </c>
      <c r="E21" s="4" t="n">
        <f aca="false">COUNTIFS(問題一覧!$D$5:$D$254,B21,問題一覧!$E$5:$E$254,"&gt;=0")</f>
        <v>2</v>
      </c>
      <c r="F21" s="4" t="n">
        <f aca="false">COUNTIFS(問題一覧!$D$5:$D$254,B21,問題一覧!$A$5:$A$254,"&gt;=2023")</f>
        <v>0</v>
      </c>
      <c r="G21" s="4" t="n">
        <f aca="false">_xlfn.MAXIFS(問題一覧!$A$5:$A$254,問題一覧!$D$5:$D$254,B21)</f>
        <v>2021</v>
      </c>
      <c r="H21" s="11" t="s">
        <v>279</v>
      </c>
      <c r="I21" s="11" t="s">
        <v>301</v>
      </c>
    </row>
    <row r="22" customFormat="false" ht="29.85" hidden="false" customHeight="false" outlineLevel="0" collapsed="false">
      <c r="A22" s="17" t="str">
        <f aca="false">IF(OR(D22&gt;=5,F22&gt;=3),"A",IF(OR(D22&gt;=3,F22&gt;=2),"B","C"))</f>
        <v>B</v>
      </c>
      <c r="B22" s="5" t="s">
        <v>99</v>
      </c>
      <c r="C22" s="11" t="s">
        <v>64</v>
      </c>
      <c r="D22" s="4" t="n">
        <f aca="false">COUNTIF(問題一覧!$D$5:$D$254,B22)</f>
        <v>4</v>
      </c>
      <c r="E22" s="4" t="n">
        <f aca="false">COUNTIFS(問題一覧!$D$5:$D$254,B22,問題一覧!$E$5:$E$254,"&gt;=0")</f>
        <v>3</v>
      </c>
      <c r="F22" s="4" t="n">
        <f aca="false">COUNTIFS(問題一覧!$D$5:$D$254,B22,問題一覧!$A$5:$A$254,"&gt;=2023")</f>
        <v>2</v>
      </c>
      <c r="G22" s="4" t="n">
        <f aca="false">_xlfn.MAXIFS(問題一覧!$A$5:$A$254,問題一覧!$D$5:$D$254,B22)</f>
        <v>2025</v>
      </c>
      <c r="H22" s="11" t="s">
        <v>302</v>
      </c>
      <c r="I22" s="11" t="s">
        <v>303</v>
      </c>
    </row>
    <row r="23" customFormat="false" ht="29.85" hidden="false" customHeight="false" outlineLevel="0" collapsed="false">
      <c r="A23" s="17" t="str">
        <f aca="false">IF(OR(D23&gt;=5,F23&gt;=3),"A",IF(OR(D23&gt;=3,F23&gt;=2),"B","C"))</f>
        <v>B</v>
      </c>
      <c r="B23" s="11" t="s">
        <v>113</v>
      </c>
      <c r="C23" s="11" t="s">
        <v>78</v>
      </c>
      <c r="D23" s="4" t="n">
        <f aca="false">COUNTIF(問題一覧!$D$5:$D$254,B23)</f>
        <v>4</v>
      </c>
      <c r="E23" s="4" t="n">
        <f aca="false">COUNTIFS(問題一覧!$D$5:$D$254,B23,問題一覧!$E$5:$E$254,"&gt;=0")</f>
        <v>2</v>
      </c>
      <c r="F23" s="4" t="n">
        <f aca="false">COUNTIFS(問題一覧!$D$5:$D$254,B23,問題一覧!$A$5:$A$254,"&gt;=2023")</f>
        <v>2</v>
      </c>
      <c r="G23" s="4" t="n">
        <f aca="false">_xlfn.MAXIFS(問題一覧!$A$5:$A$254,問題一覧!$D$5:$D$254,B23)</f>
        <v>2025</v>
      </c>
      <c r="H23" s="11" t="s">
        <v>304</v>
      </c>
      <c r="I23" s="5" t="s">
        <v>305</v>
      </c>
    </row>
    <row r="24" customFormat="false" ht="29.85" hidden="false" customHeight="false" outlineLevel="0" collapsed="false">
      <c r="A24" s="17" t="str">
        <f aca="false">IF(OR(D24&gt;=5,F24&gt;=3),"A",IF(OR(D24&gt;=3,F24&gt;=2),"B","C"))</f>
        <v>B</v>
      </c>
      <c r="B24" s="11" t="s">
        <v>104</v>
      </c>
      <c r="C24" s="11" t="s">
        <v>52</v>
      </c>
      <c r="D24" s="4" t="n">
        <f aca="false">COUNTIF(問題一覧!$D$5:$D$254,B24)</f>
        <v>4</v>
      </c>
      <c r="E24" s="4" t="n">
        <f aca="false">COUNTIFS(問題一覧!$D$5:$D$254,B24,問題一覧!$E$5:$E$254,"&gt;=0")</f>
        <v>3</v>
      </c>
      <c r="F24" s="4" t="n">
        <f aca="false">COUNTIFS(問題一覧!$D$5:$D$254,B24,問題一覧!$A$5:$A$254,"&gt;=2023")</f>
        <v>2</v>
      </c>
      <c r="G24" s="4" t="n">
        <f aca="false">_xlfn.MAXIFS(問題一覧!$A$5:$A$254,問題一覧!$D$5:$D$254,B24)</f>
        <v>2024</v>
      </c>
      <c r="H24" s="11" t="s">
        <v>306</v>
      </c>
      <c r="I24" s="5" t="s">
        <v>307</v>
      </c>
    </row>
    <row r="25" customFormat="false" ht="29.85" hidden="false" customHeight="false" outlineLevel="0" collapsed="false">
      <c r="A25" s="17" t="str">
        <f aca="false">IF(OR(D25&gt;=5,F25&gt;=3),"A",IF(OR(D25&gt;=3,F25&gt;=2),"B","C"))</f>
        <v>B</v>
      </c>
      <c r="B25" s="11" t="s">
        <v>40</v>
      </c>
      <c r="C25" s="11" t="s">
        <v>38</v>
      </c>
      <c r="D25" s="4" t="n">
        <f aca="false">COUNTIF(問題一覧!$D$5:$D$254,B25)</f>
        <v>4</v>
      </c>
      <c r="E25" s="4" t="n">
        <f aca="false">COUNTIFS(問題一覧!$D$5:$D$254,B25,問題一覧!$E$5:$E$254,"&gt;=0")</f>
        <v>0</v>
      </c>
      <c r="F25" s="4" t="n">
        <f aca="false">COUNTIFS(問題一覧!$D$5:$D$254,B25,問題一覧!$A$5:$A$254,"&gt;=2023")</f>
        <v>1</v>
      </c>
      <c r="G25" s="4" t="n">
        <f aca="false">_xlfn.MAXIFS(問題一覧!$A$5:$A$254,問題一覧!$D$5:$D$254,B25)</f>
        <v>2023</v>
      </c>
      <c r="H25" s="11" t="s">
        <v>308</v>
      </c>
      <c r="I25" s="5" t="s">
        <v>309</v>
      </c>
    </row>
    <row r="26" customFormat="false" ht="29.85" hidden="false" customHeight="false" outlineLevel="0" collapsed="false">
      <c r="A26" s="17" t="str">
        <f aca="false">IF(OR(D26&gt;=5,F26&gt;=3),"A",IF(OR(D26&gt;=3,F26&gt;=2),"B","C"))</f>
        <v>B</v>
      </c>
      <c r="B26" s="11" t="s">
        <v>72</v>
      </c>
      <c r="C26" s="11" t="s">
        <v>38</v>
      </c>
      <c r="D26" s="4" t="n">
        <f aca="false">COUNTIF(問題一覧!$D$5:$D$254,B26)</f>
        <v>4</v>
      </c>
      <c r="E26" s="4" t="n">
        <f aca="false">COUNTIFS(問題一覧!$D$5:$D$254,B26,問題一覧!$E$5:$E$254,"&gt;=0")</f>
        <v>2</v>
      </c>
      <c r="F26" s="4" t="n">
        <f aca="false">COUNTIFS(問題一覧!$D$5:$D$254,B26,問題一覧!$A$5:$A$254,"&gt;=2023")</f>
        <v>1</v>
      </c>
      <c r="G26" s="4" t="n">
        <f aca="false">_xlfn.MAXIFS(問題一覧!$A$5:$A$254,問題一覧!$D$5:$D$254,B26)</f>
        <v>2023</v>
      </c>
      <c r="H26" s="11" t="s">
        <v>310</v>
      </c>
      <c r="I26" s="5" t="s">
        <v>311</v>
      </c>
    </row>
    <row r="27" customFormat="false" ht="29.85" hidden="false" customHeight="false" outlineLevel="0" collapsed="false">
      <c r="A27" s="17" t="str">
        <f aca="false">IF(OR(D27&gt;=5,F27&gt;=3),"A",IF(OR(D27&gt;=3,F27&gt;=2),"B","C"))</f>
        <v>B</v>
      </c>
      <c r="B27" s="5" t="s">
        <v>74</v>
      </c>
      <c r="C27" s="11" t="s">
        <v>38</v>
      </c>
      <c r="D27" s="4" t="n">
        <f aca="false">COUNTIF(問題一覧!$D$5:$D$254,B27)</f>
        <v>4</v>
      </c>
      <c r="E27" s="4" t="n">
        <f aca="false">COUNTIFS(問題一覧!$D$5:$D$254,B27,問題一覧!$E$5:$E$254,"&gt;=0")</f>
        <v>2</v>
      </c>
      <c r="F27" s="4" t="n">
        <f aca="false">COUNTIFS(問題一覧!$D$5:$D$254,B27,問題一覧!$A$5:$A$254,"&gt;=2023")</f>
        <v>0</v>
      </c>
      <c r="G27" s="4" t="n">
        <f aca="false">_xlfn.MAXIFS(問題一覧!$A$5:$A$254,問題一覧!$D$5:$D$254,B27)</f>
        <v>2022</v>
      </c>
      <c r="H27" s="11" t="s">
        <v>312</v>
      </c>
      <c r="I27" s="5" t="s">
        <v>313</v>
      </c>
    </row>
    <row r="28" customFormat="false" ht="29.85" hidden="false" customHeight="false" outlineLevel="0" collapsed="false">
      <c r="A28" s="17" t="str">
        <f aca="false">IF(OR(D28&gt;=5,F28&gt;=3),"A",IF(OR(D28&gt;=3,F28&gt;=2),"B","C"))</f>
        <v>B</v>
      </c>
      <c r="B28" s="11" t="s">
        <v>93</v>
      </c>
      <c r="C28" s="11" t="s">
        <v>78</v>
      </c>
      <c r="D28" s="4" t="n">
        <f aca="false">COUNTIF(問題一覧!$D$5:$D$254,B28)</f>
        <v>4</v>
      </c>
      <c r="E28" s="4" t="n">
        <f aca="false">COUNTIFS(問題一覧!$D$5:$D$254,B28,問題一覧!$E$5:$E$254,"&gt;=0")</f>
        <v>0</v>
      </c>
      <c r="F28" s="4" t="n">
        <f aca="false">COUNTIFS(問題一覧!$D$5:$D$254,B28,問題一覧!$A$5:$A$254,"&gt;=2023")</f>
        <v>0</v>
      </c>
      <c r="G28" s="4" t="n">
        <f aca="false">_xlfn.MAXIFS(問題一覧!$A$5:$A$254,問題一覧!$D$5:$D$254,B28)</f>
        <v>2022</v>
      </c>
      <c r="H28" s="11" t="s">
        <v>314</v>
      </c>
      <c r="I28" s="5" t="s">
        <v>315</v>
      </c>
    </row>
    <row r="29" customFormat="false" ht="29.85" hidden="false" customHeight="false" outlineLevel="0" collapsed="false">
      <c r="A29" s="17" t="str">
        <f aca="false">IF(OR(D29&gt;=5,F29&gt;=3),"A",IF(OR(D29&gt;=3,F29&gt;=2),"B","C"))</f>
        <v>B</v>
      </c>
      <c r="B29" s="5" t="s">
        <v>41</v>
      </c>
      <c r="C29" s="11" t="s">
        <v>38</v>
      </c>
      <c r="D29" s="4" t="n">
        <f aca="false">COUNTIF(問題一覧!$D$5:$D$254,B29)</f>
        <v>3</v>
      </c>
      <c r="E29" s="4" t="n">
        <f aca="false">COUNTIFS(問題一覧!$D$5:$D$254,B29,問題一覧!$E$5:$E$254,"&gt;=0")</f>
        <v>2</v>
      </c>
      <c r="F29" s="4" t="n">
        <f aca="false">COUNTIFS(問題一覧!$D$5:$D$254,B29,問題一覧!$A$5:$A$254,"&gt;=2023")</f>
        <v>1</v>
      </c>
      <c r="G29" s="4" t="n">
        <f aca="false">_xlfn.MAXIFS(問題一覧!$A$5:$A$254,問題一覧!$D$5:$D$254,B29)</f>
        <v>2025</v>
      </c>
      <c r="H29" s="11" t="s">
        <v>316</v>
      </c>
      <c r="I29" s="5" t="s">
        <v>317</v>
      </c>
    </row>
    <row r="30" customFormat="false" ht="29.85" hidden="false" customHeight="false" outlineLevel="0" collapsed="false">
      <c r="A30" s="17" t="str">
        <f aca="false">IF(OR(D30&gt;=5,F30&gt;=3),"A",IF(OR(D30&gt;=3,F30&gt;=2),"B","C"))</f>
        <v>B</v>
      </c>
      <c r="B30" s="11" t="s">
        <v>63</v>
      </c>
      <c r="C30" s="11" t="s">
        <v>62</v>
      </c>
      <c r="D30" s="4" t="n">
        <f aca="false">COUNTIF(問題一覧!$D$5:$D$254,B30)</f>
        <v>3</v>
      </c>
      <c r="E30" s="4" t="n">
        <f aca="false">COUNTIFS(問題一覧!$D$5:$D$254,B30,問題一覧!$E$5:$E$254,"&gt;=0")</f>
        <v>2</v>
      </c>
      <c r="F30" s="4" t="n">
        <f aca="false">COUNTIFS(問題一覧!$D$5:$D$254,B30,問題一覧!$A$5:$A$254,"&gt;=2023")</f>
        <v>2</v>
      </c>
      <c r="G30" s="4" t="n">
        <f aca="false">_xlfn.MAXIFS(問題一覧!$A$5:$A$254,問題一覧!$D$5:$D$254,B30)</f>
        <v>2025</v>
      </c>
      <c r="H30" s="11" t="s">
        <v>318</v>
      </c>
      <c r="I30" s="11" t="s">
        <v>319</v>
      </c>
    </row>
    <row r="31" customFormat="false" ht="29.85" hidden="false" customHeight="false" outlineLevel="0" collapsed="false">
      <c r="A31" s="17" t="str">
        <f aca="false">IF(OR(D31&gt;=5,F31&gt;=3),"A",IF(OR(D31&gt;=3,F31&gt;=2),"B","C"))</f>
        <v>B</v>
      </c>
      <c r="B31" s="5" t="s">
        <v>65</v>
      </c>
      <c r="C31" s="11" t="s">
        <v>64</v>
      </c>
      <c r="D31" s="4" t="n">
        <f aca="false">COUNTIF(問題一覧!$D$5:$D$254,B31)</f>
        <v>3</v>
      </c>
      <c r="E31" s="4" t="n">
        <f aca="false">COUNTIFS(問題一覧!$D$5:$D$254,B31,問題一覧!$E$5:$E$254,"&gt;=0")</f>
        <v>0</v>
      </c>
      <c r="F31" s="4" t="n">
        <f aca="false">COUNTIFS(問題一覧!$D$5:$D$254,B31,問題一覧!$A$5:$A$254,"&gt;=2023")</f>
        <v>1</v>
      </c>
      <c r="G31" s="4" t="n">
        <f aca="false">_xlfn.MAXIFS(問題一覧!$A$5:$A$254,問題一覧!$D$5:$D$254,B31)</f>
        <v>2025</v>
      </c>
      <c r="H31" s="11" t="s">
        <v>316</v>
      </c>
      <c r="I31" s="5" t="s">
        <v>320</v>
      </c>
    </row>
    <row r="32" customFormat="false" ht="29.85" hidden="false" customHeight="false" outlineLevel="0" collapsed="false">
      <c r="A32" s="17" t="str">
        <f aca="false">IF(OR(D32&gt;=5,F32&gt;=3),"A",IF(OR(D32&gt;=3,F32&gt;=2),"B","C"))</f>
        <v>B</v>
      </c>
      <c r="B32" s="5" t="s">
        <v>71</v>
      </c>
      <c r="C32" s="11" t="s">
        <v>38</v>
      </c>
      <c r="D32" s="4" t="n">
        <f aca="false">COUNTIF(問題一覧!$D$5:$D$254,B32)</f>
        <v>3</v>
      </c>
      <c r="E32" s="4" t="n">
        <f aca="false">COUNTIFS(問題一覧!$D$5:$D$254,B32,問題一覧!$E$5:$E$254,"&gt;=0")</f>
        <v>2</v>
      </c>
      <c r="F32" s="4" t="n">
        <f aca="false">COUNTIFS(問題一覧!$D$5:$D$254,B32,問題一覧!$A$5:$A$254,"&gt;=2023")</f>
        <v>1</v>
      </c>
      <c r="G32" s="4" t="n">
        <f aca="false">_xlfn.MAXIFS(問題一覧!$A$5:$A$254,問題一覧!$D$5:$D$254,B32)</f>
        <v>2024</v>
      </c>
      <c r="H32" s="11" t="s">
        <v>321</v>
      </c>
      <c r="I32" s="5" t="s">
        <v>322</v>
      </c>
    </row>
    <row r="33" customFormat="false" ht="29.85" hidden="false" customHeight="false" outlineLevel="0" collapsed="false">
      <c r="A33" s="17" t="str">
        <f aca="false">IF(OR(D33&gt;=5,F33&gt;=3),"A",IF(OR(D33&gt;=3,F33&gt;=2),"B","C"))</f>
        <v>B</v>
      </c>
      <c r="B33" s="5" t="s">
        <v>102</v>
      </c>
      <c r="C33" s="11" t="s">
        <v>38</v>
      </c>
      <c r="D33" s="4" t="n">
        <f aca="false">COUNTIF(問題一覧!$D$5:$D$254,B33)</f>
        <v>3</v>
      </c>
      <c r="E33" s="4" t="n">
        <f aca="false">COUNTIFS(問題一覧!$D$5:$D$254,B33,問題一覧!$E$5:$E$254,"&gt;=0")</f>
        <v>2</v>
      </c>
      <c r="F33" s="4" t="n">
        <f aca="false">COUNTIFS(問題一覧!$D$5:$D$254,B33,問題一覧!$A$5:$A$254,"&gt;=2023")</f>
        <v>1</v>
      </c>
      <c r="G33" s="4" t="n">
        <f aca="false">_xlfn.MAXIFS(問題一覧!$A$5:$A$254,問題一覧!$D$5:$D$254,B33)</f>
        <v>2023</v>
      </c>
      <c r="H33" s="11" t="s">
        <v>323</v>
      </c>
      <c r="I33" s="5" t="s">
        <v>324</v>
      </c>
    </row>
    <row r="34" customFormat="false" ht="15" hidden="false" customHeight="false" outlineLevel="0" collapsed="false">
      <c r="A34" s="17" t="str">
        <f aca="false">IF(OR(D34&gt;=5,F34&gt;=3),"A",IF(OR(D34&gt;=3,F34&gt;=2),"B","C"))</f>
        <v>B</v>
      </c>
      <c r="B34" s="11" t="s">
        <v>98</v>
      </c>
      <c r="C34" s="11" t="s">
        <v>62</v>
      </c>
      <c r="D34" s="4" t="n">
        <f aca="false">COUNTIF(問題一覧!$D$5:$D$254,B34)</f>
        <v>3</v>
      </c>
      <c r="E34" s="4" t="n">
        <f aca="false">COUNTIFS(問題一覧!$D$5:$D$254,B34,問題一覧!$E$5:$E$254,"&gt;=0")</f>
        <v>3</v>
      </c>
      <c r="F34" s="4" t="n">
        <f aca="false">COUNTIFS(問題一覧!$D$5:$D$254,B34,問題一覧!$A$5:$A$254,"&gt;=2023")</f>
        <v>0</v>
      </c>
      <c r="G34" s="4" t="n">
        <f aca="false">_xlfn.MAXIFS(問題一覧!$A$5:$A$254,問題一覧!$D$5:$D$254,B34)</f>
        <v>2022</v>
      </c>
      <c r="H34" s="11" t="s">
        <v>325</v>
      </c>
      <c r="I34" s="11" t="s">
        <v>326</v>
      </c>
    </row>
    <row r="35" customFormat="false" ht="15" hidden="false" customHeight="false" outlineLevel="0" collapsed="false">
      <c r="A35" s="17" t="str">
        <f aca="false">IF(OR(D35&gt;=5,F35&gt;=3),"A",IF(OR(D35&gt;=3,F35&gt;=2),"B","C"))</f>
        <v>B</v>
      </c>
      <c r="B35" s="5" t="s">
        <v>80</v>
      </c>
      <c r="C35" s="11" t="s">
        <v>44</v>
      </c>
      <c r="D35" s="4" t="n">
        <f aca="false">COUNTIF(問題一覧!$D$5:$D$254,B35)</f>
        <v>3</v>
      </c>
      <c r="E35" s="4" t="n">
        <f aca="false">COUNTIFS(問題一覧!$D$5:$D$254,B35,問題一覧!$E$5:$E$254,"&gt;=0")</f>
        <v>0</v>
      </c>
      <c r="F35" s="4" t="n">
        <f aca="false">COUNTIFS(問題一覧!$D$5:$D$254,B35,問題一覧!$A$5:$A$254,"&gt;=2023")</f>
        <v>0</v>
      </c>
      <c r="G35" s="4" t="n">
        <f aca="false">_xlfn.MAXIFS(問題一覧!$A$5:$A$254,問題一覧!$D$5:$D$254,B35)</f>
        <v>2019</v>
      </c>
      <c r="H35" s="11" t="s">
        <v>327</v>
      </c>
      <c r="I35" s="5" t="s">
        <v>328</v>
      </c>
    </row>
    <row r="36" customFormat="false" ht="29.85" hidden="false" customHeight="false" outlineLevel="0" collapsed="false">
      <c r="A36" s="17" t="str">
        <f aca="false">IF(OR(D36&gt;=5,F36&gt;=3),"A",IF(OR(D36&gt;=3,F36&gt;=2),"B","C"))</f>
        <v>B</v>
      </c>
      <c r="B36" s="5" t="s">
        <v>94</v>
      </c>
      <c r="C36" s="11" t="s">
        <v>52</v>
      </c>
      <c r="D36" s="4" t="n">
        <f aca="false">COUNTIF(問題一覧!$D$5:$D$254,B36)</f>
        <v>3</v>
      </c>
      <c r="E36" s="4" t="n">
        <f aca="false">COUNTIFS(問題一覧!$D$5:$D$254,B36,問題一覧!$E$5:$E$254,"&gt;=0")</f>
        <v>2</v>
      </c>
      <c r="F36" s="4" t="n">
        <f aca="false">COUNTIFS(問題一覧!$D$5:$D$254,B36,問題一覧!$A$5:$A$254,"&gt;=2023")</f>
        <v>0</v>
      </c>
      <c r="G36" s="4" t="n">
        <f aca="false">_xlfn.MAXIFS(問題一覧!$A$5:$A$254,問題一覧!$D$5:$D$254,B36)</f>
        <v>2019</v>
      </c>
      <c r="H36" s="11" t="s">
        <v>329</v>
      </c>
      <c r="I36" s="5" t="s">
        <v>330</v>
      </c>
    </row>
    <row r="37" customFormat="false" ht="15" hidden="false" customHeight="false" outlineLevel="0" collapsed="false">
      <c r="A37" s="17" t="str">
        <f aca="false">IF(OR(D37&gt;=5,F37&gt;=3),"A",IF(OR(D37&gt;=3,F37&gt;=2),"B","C"))</f>
        <v>B</v>
      </c>
      <c r="B37" s="5" t="s">
        <v>59</v>
      </c>
      <c r="C37" s="11" t="s">
        <v>56</v>
      </c>
      <c r="D37" s="4" t="n">
        <f aca="false">COUNTIF(問題一覧!$D$5:$D$254,B37)</f>
        <v>3</v>
      </c>
      <c r="E37" s="4" t="n">
        <f aca="false">COUNTIFS(問題一覧!$D$5:$D$254,B37,問題一覧!$E$5:$E$254,"&gt;=0")</f>
        <v>0</v>
      </c>
      <c r="F37" s="4" t="n">
        <f aca="false">COUNTIFS(問題一覧!$D$5:$D$254,B37,問題一覧!$A$5:$A$254,"&gt;=2023")</f>
        <v>0</v>
      </c>
      <c r="G37" s="4" t="n">
        <f aca="false">_xlfn.MAXIFS(問題一覧!$A$5:$A$254,問題一覧!$D$5:$D$254,B37)</f>
        <v>2018</v>
      </c>
      <c r="H37" s="11" t="s">
        <v>331</v>
      </c>
      <c r="I37" s="5" t="s">
        <v>332</v>
      </c>
    </row>
    <row r="38" customFormat="false" ht="15" hidden="false" customHeight="false" outlineLevel="0" collapsed="false">
      <c r="A38" s="17" t="str">
        <f aca="false">IF(OR(D38&gt;=5,F38&gt;=3),"A",IF(OR(D38&gt;=3,F38&gt;=2),"B","C"))</f>
        <v>C</v>
      </c>
      <c r="B38" s="5" t="s">
        <v>42</v>
      </c>
      <c r="C38" s="11" t="s">
        <v>38</v>
      </c>
      <c r="D38" s="4" t="n">
        <f aca="false">COUNTIF(問題一覧!$D$5:$D$254,B38)</f>
        <v>2</v>
      </c>
      <c r="E38" s="4" t="n">
        <f aca="false">COUNTIFS(問題一覧!$D$5:$D$254,B38,問題一覧!$E$5:$E$254,"&gt;=0")</f>
        <v>2</v>
      </c>
      <c r="F38" s="4" t="n">
        <f aca="false">COUNTIFS(問題一覧!$D$5:$D$254,B38,問題一覧!$A$5:$A$254,"&gt;=2023")</f>
        <v>1</v>
      </c>
      <c r="G38" s="4" t="n">
        <f aca="false">_xlfn.MAXIFS(問題一覧!$A$5:$A$254,問題一覧!$D$5:$D$254,B38)</f>
        <v>2025</v>
      </c>
      <c r="H38" s="11" t="s">
        <v>333</v>
      </c>
      <c r="I38" s="5" t="s">
        <v>334</v>
      </c>
    </row>
    <row r="39" customFormat="false" ht="15" hidden="false" customHeight="false" outlineLevel="0" collapsed="false">
      <c r="A39" s="17" t="str">
        <f aca="false">IF(OR(D39&gt;=5,F39&gt;=3),"A",IF(OR(D39&gt;=3,F39&gt;=2),"B","C"))</f>
        <v>C</v>
      </c>
      <c r="B39" s="11" t="s">
        <v>45</v>
      </c>
      <c r="C39" s="11" t="s">
        <v>44</v>
      </c>
      <c r="D39" s="4" t="n">
        <f aca="false">COUNTIF(問題一覧!$D$5:$D$254,B39)</f>
        <v>2</v>
      </c>
      <c r="E39" s="4" t="n">
        <f aca="false">COUNTIFS(問題一覧!$D$5:$D$254,B39,問題一覧!$E$5:$E$254,"&gt;=0")</f>
        <v>2</v>
      </c>
      <c r="F39" s="4" t="n">
        <f aca="false">COUNTIFS(問題一覧!$D$5:$D$254,B39,問題一覧!$A$5:$A$254,"&gt;=2023")</f>
        <v>1</v>
      </c>
      <c r="G39" s="4" t="n">
        <f aca="false">_xlfn.MAXIFS(問題一覧!$A$5:$A$254,問題一覧!$D$5:$D$254,B39)</f>
        <v>2025</v>
      </c>
      <c r="H39" s="11" t="s">
        <v>333</v>
      </c>
      <c r="I39" s="5"/>
    </row>
    <row r="40" customFormat="false" ht="15" hidden="false" customHeight="false" outlineLevel="0" collapsed="false">
      <c r="A40" s="17" t="str">
        <f aca="false">IF(OR(D40&gt;=5,F40&gt;=3),"A",IF(OR(D40&gt;=3,F40&gt;=2),"B","C"))</f>
        <v>C</v>
      </c>
      <c r="B40" s="5" t="s">
        <v>49</v>
      </c>
      <c r="C40" s="11" t="s">
        <v>38</v>
      </c>
      <c r="D40" s="4" t="n">
        <f aca="false">COUNTIF(問題一覧!$D$5:$D$254,B40)</f>
        <v>2</v>
      </c>
      <c r="E40" s="4" t="n">
        <f aca="false">COUNTIFS(問題一覧!$D$5:$D$254,B40,問題一覧!$E$5:$E$254,"&gt;=0")</f>
        <v>2</v>
      </c>
      <c r="F40" s="4" t="n">
        <f aca="false">COUNTIFS(問題一覧!$D$5:$D$254,B40,問題一覧!$A$5:$A$254,"&gt;=2023")</f>
        <v>1</v>
      </c>
      <c r="G40" s="4" t="n">
        <f aca="false">_xlfn.MAXIFS(問題一覧!$A$5:$A$254,問題一覧!$D$5:$D$254,B40)</f>
        <v>2025</v>
      </c>
      <c r="H40" s="11" t="s">
        <v>333</v>
      </c>
      <c r="I40" s="5" t="s">
        <v>335</v>
      </c>
    </row>
    <row r="41" customFormat="false" ht="15" hidden="false" customHeight="false" outlineLevel="0" collapsed="false">
      <c r="A41" s="17" t="str">
        <f aca="false">IF(OR(D41&gt;=5,F41&gt;=3),"A",IF(OR(D41&gt;=3,F41&gt;=2),"B","C"))</f>
        <v>C</v>
      </c>
      <c r="B41" s="11" t="s">
        <v>125</v>
      </c>
      <c r="C41" s="11" t="s">
        <v>64</v>
      </c>
      <c r="D41" s="4" t="n">
        <f aca="false">COUNTIF(問題一覧!$D$5:$D$254,B41)</f>
        <v>2</v>
      </c>
      <c r="E41" s="4" t="n">
        <f aca="false">COUNTIFS(問題一覧!$D$5:$D$254,B41,問題一覧!$E$5:$E$254,"&gt;=0")</f>
        <v>0</v>
      </c>
      <c r="F41" s="4" t="n">
        <f aca="false">COUNTIFS(問題一覧!$D$5:$D$254,B41,問題一覧!$A$5:$A$254,"&gt;=2023")</f>
        <v>1</v>
      </c>
      <c r="G41" s="4" t="n">
        <f aca="false">_xlfn.MAXIFS(問題一覧!$A$5:$A$254,問題一覧!$D$5:$D$254,B41)</f>
        <v>2025</v>
      </c>
      <c r="H41" s="11" t="s">
        <v>336</v>
      </c>
      <c r="I41" s="5" t="s">
        <v>337</v>
      </c>
    </row>
    <row r="42" customFormat="false" ht="29.85" hidden="false" customHeight="false" outlineLevel="0" collapsed="false">
      <c r="A42" s="17" t="str">
        <f aca="false">IF(OR(D42&gt;=5,F42&gt;=3),"A",IF(OR(D42&gt;=3,F42&gt;=2),"B","C"))</f>
        <v>C</v>
      </c>
      <c r="B42" s="5" t="s">
        <v>127</v>
      </c>
      <c r="C42" s="11" t="s">
        <v>56</v>
      </c>
      <c r="D42" s="4" t="n">
        <f aca="false">COUNTIF(問題一覧!$D$5:$D$254,B42)</f>
        <v>2</v>
      </c>
      <c r="E42" s="4" t="n">
        <f aca="false">COUNTIFS(問題一覧!$D$5:$D$254,B42,問題一覧!$E$5:$E$254,"&gt;=0")</f>
        <v>0</v>
      </c>
      <c r="F42" s="4" t="n">
        <f aca="false">COUNTIFS(問題一覧!$D$5:$D$254,B42,問題一覧!$A$5:$A$254,"&gt;=2023")</f>
        <v>1</v>
      </c>
      <c r="G42" s="4" t="n">
        <f aca="false">_xlfn.MAXIFS(問題一覧!$A$5:$A$254,問題一覧!$D$5:$D$254,B42)</f>
        <v>2025</v>
      </c>
      <c r="H42" s="11" t="s">
        <v>336</v>
      </c>
      <c r="I42" s="5" t="s">
        <v>338</v>
      </c>
    </row>
    <row r="43" customFormat="false" ht="15" hidden="false" customHeight="false" outlineLevel="0" collapsed="false">
      <c r="A43" s="17" t="str">
        <f aca="false">IF(OR(D43&gt;=5,F43&gt;=3),"A",IF(OR(D43&gt;=3,F43&gt;=2),"B","C"))</f>
        <v>B</v>
      </c>
      <c r="B43" s="5" t="s">
        <v>130</v>
      </c>
      <c r="C43" s="11" t="s">
        <v>44</v>
      </c>
      <c r="D43" s="4" t="n">
        <f aca="false">COUNTIF(問題一覧!$D$5:$D$254,B43)</f>
        <v>2</v>
      </c>
      <c r="E43" s="4" t="n">
        <f aca="false">COUNTIFS(問題一覧!$D$5:$D$254,B43,問題一覧!$E$5:$E$254,"&gt;=0")</f>
        <v>0</v>
      </c>
      <c r="F43" s="4" t="n">
        <f aca="false">COUNTIFS(問題一覧!$D$5:$D$254,B43,問題一覧!$A$5:$A$254,"&gt;=2023")</f>
        <v>2</v>
      </c>
      <c r="G43" s="4" t="n">
        <f aca="false">_xlfn.MAXIFS(問題一覧!$A$5:$A$254,問題一覧!$D$5:$D$254,B43)</f>
        <v>2025</v>
      </c>
      <c r="H43" s="11" t="s">
        <v>339</v>
      </c>
      <c r="I43" s="5" t="s">
        <v>340</v>
      </c>
    </row>
    <row r="44" customFormat="false" ht="15" hidden="false" customHeight="false" outlineLevel="0" collapsed="false">
      <c r="A44" s="17" t="str">
        <f aca="false">IF(OR(D44&gt;=5,F44&gt;=3),"A",IF(OR(D44&gt;=3,F44&gt;=2),"B","C"))</f>
        <v>B</v>
      </c>
      <c r="B44" s="5" t="s">
        <v>134</v>
      </c>
      <c r="C44" s="11" t="s">
        <v>38</v>
      </c>
      <c r="D44" s="4" t="n">
        <f aca="false">COUNTIF(問題一覧!$D$5:$D$254,B44)</f>
        <v>2</v>
      </c>
      <c r="E44" s="4" t="n">
        <f aca="false">COUNTIFS(問題一覧!$D$5:$D$254,B44,問題一覧!$E$5:$E$254,"&gt;=0")</f>
        <v>0</v>
      </c>
      <c r="F44" s="4" t="n">
        <f aca="false">COUNTIFS(問題一覧!$D$5:$D$254,B44,問題一覧!$A$5:$A$254,"&gt;=2023")</f>
        <v>2</v>
      </c>
      <c r="G44" s="4" t="n">
        <f aca="false">_xlfn.MAXIFS(問題一覧!$A$5:$A$254,問題一覧!$D$5:$D$254,B44)</f>
        <v>2025</v>
      </c>
      <c r="H44" s="11" t="s">
        <v>249</v>
      </c>
      <c r="I44" s="5"/>
    </row>
    <row r="45" customFormat="false" ht="15" hidden="false" customHeight="false" outlineLevel="0" collapsed="false">
      <c r="A45" s="17" t="str">
        <f aca="false">IF(OR(D45&gt;=5,F45&gt;=3),"A",IF(OR(D45&gt;=3,F45&gt;=2),"B","C"))</f>
        <v>C</v>
      </c>
      <c r="B45" s="5" t="s">
        <v>107</v>
      </c>
      <c r="C45" s="11" t="s">
        <v>64</v>
      </c>
      <c r="D45" s="4" t="n">
        <f aca="false">COUNTIF(問題一覧!$D$5:$D$254,B45)</f>
        <v>2</v>
      </c>
      <c r="E45" s="4" t="n">
        <f aca="false">COUNTIFS(問題一覧!$D$5:$D$254,B45,問題一覧!$E$5:$E$254,"&gt;=0")</f>
        <v>0</v>
      </c>
      <c r="F45" s="4" t="n">
        <f aca="false">COUNTIFS(問題一覧!$D$5:$D$254,B45,問題一覧!$A$5:$A$254,"&gt;=2023")</f>
        <v>1</v>
      </c>
      <c r="G45" s="4" t="n">
        <f aca="false">_xlfn.MAXIFS(問題一覧!$A$5:$A$254,問題一覧!$D$5:$D$254,B45)</f>
        <v>2024</v>
      </c>
      <c r="H45" s="11" t="s">
        <v>341</v>
      </c>
      <c r="I45" s="5"/>
    </row>
    <row r="46" customFormat="false" ht="15" hidden="false" customHeight="false" outlineLevel="0" collapsed="false">
      <c r="A46" s="17" t="str">
        <f aca="false">IF(OR(D46&gt;=5,F46&gt;=3),"A",IF(OR(D46&gt;=3,F46&gt;=2),"B","C"))</f>
        <v>C</v>
      </c>
      <c r="B46" s="5" t="s">
        <v>111</v>
      </c>
      <c r="C46" s="11" t="s">
        <v>38</v>
      </c>
      <c r="D46" s="4" t="n">
        <f aca="false">COUNTIF(問題一覧!$D$5:$D$254,B46)</f>
        <v>2</v>
      </c>
      <c r="E46" s="4" t="n">
        <f aca="false">COUNTIFS(問題一覧!$D$5:$D$254,B46,問題一覧!$E$5:$E$254,"&gt;=0")</f>
        <v>2</v>
      </c>
      <c r="F46" s="4" t="n">
        <f aca="false">COUNTIFS(問題一覧!$D$5:$D$254,B46,問題一覧!$A$5:$A$254,"&gt;=2023")</f>
        <v>1</v>
      </c>
      <c r="G46" s="4" t="n">
        <f aca="false">_xlfn.MAXIFS(問題一覧!$A$5:$A$254,問題一覧!$D$5:$D$254,B46)</f>
        <v>2024</v>
      </c>
      <c r="H46" s="11" t="s">
        <v>342</v>
      </c>
      <c r="I46" s="5"/>
    </row>
    <row r="47" customFormat="false" ht="15" hidden="false" customHeight="false" outlineLevel="0" collapsed="false">
      <c r="A47" s="17" t="str">
        <f aca="false">IF(OR(D47&gt;=5,F47&gt;=3),"A",IF(OR(D47&gt;=3,F47&gt;=2),"B","C"))</f>
        <v>C</v>
      </c>
      <c r="B47" s="5" t="s">
        <v>117</v>
      </c>
      <c r="C47" s="11" t="s">
        <v>38</v>
      </c>
      <c r="D47" s="4" t="n">
        <f aca="false">COUNTIF(問題一覧!$D$5:$D$254,B47)</f>
        <v>2</v>
      </c>
      <c r="E47" s="4" t="n">
        <f aca="false">COUNTIFS(問題一覧!$D$5:$D$254,B47,問題一覧!$E$5:$E$254,"&gt;=0")</f>
        <v>0</v>
      </c>
      <c r="F47" s="4" t="n">
        <f aca="false">COUNTIFS(問題一覧!$D$5:$D$254,B47,問題一覧!$A$5:$A$254,"&gt;=2023")</f>
        <v>1</v>
      </c>
      <c r="G47" s="4" t="n">
        <f aca="false">_xlfn.MAXIFS(問題一覧!$A$5:$A$254,問題一覧!$D$5:$D$254,B47)</f>
        <v>2024</v>
      </c>
      <c r="H47" s="11" t="s">
        <v>299</v>
      </c>
      <c r="I47" s="5" t="s">
        <v>343</v>
      </c>
    </row>
    <row r="48" customFormat="false" ht="15" hidden="false" customHeight="false" outlineLevel="0" collapsed="false">
      <c r="A48" s="17" t="str">
        <f aca="false">IF(OR(D48&gt;=5,F48&gt;=3),"A",IF(OR(D48&gt;=3,F48&gt;=2),"B","C"))</f>
        <v>C</v>
      </c>
      <c r="B48" s="5" t="s">
        <v>123</v>
      </c>
      <c r="C48" s="11" t="s">
        <v>60</v>
      </c>
      <c r="D48" s="4" t="n">
        <f aca="false">COUNTIF(問題一覧!$D$5:$D$254,B48)</f>
        <v>2</v>
      </c>
      <c r="E48" s="4" t="n">
        <f aca="false">COUNTIFS(問題一覧!$D$5:$D$254,B48,問題一覧!$E$5:$E$254,"&gt;=0")</f>
        <v>2</v>
      </c>
      <c r="F48" s="4" t="n">
        <f aca="false">COUNTIFS(問題一覧!$D$5:$D$254,B48,問題一覧!$A$5:$A$254,"&gt;=2023")</f>
        <v>1</v>
      </c>
      <c r="G48" s="4" t="n">
        <f aca="false">_xlfn.MAXIFS(問題一覧!$A$5:$A$254,問題一覧!$D$5:$D$254,B48)</f>
        <v>2024</v>
      </c>
      <c r="H48" s="11" t="s">
        <v>344</v>
      </c>
      <c r="I48" s="5"/>
    </row>
    <row r="49" customFormat="false" ht="15" hidden="false" customHeight="false" outlineLevel="0" collapsed="false">
      <c r="A49" s="17" t="str">
        <f aca="false">IF(OR(D49&gt;=5,F49&gt;=3),"A",IF(OR(D49&gt;=3,F49&gt;=2),"B","C"))</f>
        <v>C</v>
      </c>
      <c r="B49" s="11" t="s">
        <v>124</v>
      </c>
      <c r="C49" s="11" t="s">
        <v>38</v>
      </c>
      <c r="D49" s="4" t="n">
        <f aca="false">COUNTIF(問題一覧!$D$5:$D$254,B49)</f>
        <v>2</v>
      </c>
      <c r="E49" s="4" t="n">
        <f aca="false">COUNTIFS(問題一覧!$D$5:$D$254,B49,問題一覧!$E$5:$E$254,"&gt;=0")</f>
        <v>2</v>
      </c>
      <c r="F49" s="4" t="n">
        <f aca="false">COUNTIFS(問題一覧!$D$5:$D$254,B49,問題一覧!$A$5:$A$254,"&gt;=2023")</f>
        <v>1</v>
      </c>
      <c r="G49" s="4" t="n">
        <f aca="false">_xlfn.MAXIFS(問題一覧!$A$5:$A$254,問題一覧!$D$5:$D$254,B49)</f>
        <v>2024</v>
      </c>
      <c r="H49" s="11" t="s">
        <v>344</v>
      </c>
      <c r="I49" s="5"/>
    </row>
    <row r="50" customFormat="false" ht="15" hidden="false" customHeight="false" outlineLevel="0" collapsed="false">
      <c r="A50" s="17" t="str">
        <f aca="false">IF(OR(D50&gt;=5,F50&gt;=3),"A",IF(OR(D50&gt;=3,F50&gt;=2),"B","C"))</f>
        <v>C</v>
      </c>
      <c r="B50" s="5" t="s">
        <v>76</v>
      </c>
      <c r="C50" s="11" t="s">
        <v>64</v>
      </c>
      <c r="D50" s="4" t="n">
        <f aca="false">COUNTIF(問題一覧!$D$5:$D$254,B50)</f>
        <v>2</v>
      </c>
      <c r="E50" s="4" t="n">
        <f aca="false">COUNTIFS(問題一覧!$D$5:$D$254,B50,問題一覧!$E$5:$E$254,"&gt;=0")</f>
        <v>0</v>
      </c>
      <c r="F50" s="4" t="n">
        <f aca="false">COUNTIFS(問題一覧!$D$5:$D$254,B50,問題一覧!$A$5:$A$254,"&gt;=2023")</f>
        <v>1</v>
      </c>
      <c r="G50" s="4" t="n">
        <f aca="false">_xlfn.MAXIFS(問題一覧!$A$5:$A$254,問題一覧!$D$5:$D$254,B50)</f>
        <v>2023</v>
      </c>
      <c r="H50" s="11" t="s">
        <v>345</v>
      </c>
      <c r="I50" s="5"/>
    </row>
    <row r="51" customFormat="false" ht="15" hidden="false" customHeight="false" outlineLevel="0" collapsed="false">
      <c r="A51" s="17" t="str">
        <f aca="false">IF(OR(D51&gt;=5,F51&gt;=3),"A",IF(OR(D51&gt;=3,F51&gt;=2),"B","C"))</f>
        <v>C</v>
      </c>
      <c r="B51" s="11" t="s">
        <v>87</v>
      </c>
      <c r="C51" s="11" t="s">
        <v>38</v>
      </c>
      <c r="D51" s="4" t="n">
        <f aca="false">COUNTIF(問題一覧!$D$5:$D$254,B51)</f>
        <v>2</v>
      </c>
      <c r="E51" s="4" t="n">
        <f aca="false">COUNTIFS(問題一覧!$D$5:$D$254,B51,問題一覧!$E$5:$E$254,"&gt;=0")</f>
        <v>2</v>
      </c>
      <c r="F51" s="4" t="n">
        <f aca="false">COUNTIFS(問題一覧!$D$5:$D$254,B51,問題一覧!$A$5:$A$254,"&gt;=2023")</f>
        <v>1</v>
      </c>
      <c r="G51" s="4" t="n">
        <f aca="false">_xlfn.MAXIFS(問題一覧!$A$5:$A$254,問題一覧!$D$5:$D$254,B51)</f>
        <v>2023</v>
      </c>
      <c r="H51" s="11" t="s">
        <v>346</v>
      </c>
      <c r="I51" s="5"/>
    </row>
    <row r="52" customFormat="false" ht="29.85" hidden="false" customHeight="false" outlineLevel="0" collapsed="false">
      <c r="A52" s="17" t="str">
        <f aca="false">IF(OR(D52&gt;=5,F52&gt;=3),"A",IF(OR(D52&gt;=3,F52&gt;=2),"B","C"))</f>
        <v>C</v>
      </c>
      <c r="B52" s="5" t="s">
        <v>90</v>
      </c>
      <c r="C52" s="11" t="s">
        <v>50</v>
      </c>
      <c r="D52" s="4" t="n">
        <f aca="false">COUNTIF(問題一覧!$D$5:$D$254,B52)</f>
        <v>2</v>
      </c>
      <c r="E52" s="4" t="n">
        <f aca="false">COUNTIFS(問題一覧!$D$5:$D$254,B52,問題一覧!$E$5:$E$254,"&gt;=0")</f>
        <v>0</v>
      </c>
      <c r="F52" s="4" t="n">
        <f aca="false">COUNTIFS(問題一覧!$D$5:$D$254,B52,問題一覧!$A$5:$A$254,"&gt;=2023")</f>
        <v>1</v>
      </c>
      <c r="G52" s="4" t="n">
        <f aca="false">_xlfn.MAXIFS(問題一覧!$A$5:$A$254,問題一覧!$D$5:$D$254,B52)</f>
        <v>2023</v>
      </c>
      <c r="H52" s="11" t="s">
        <v>346</v>
      </c>
      <c r="I52" s="5"/>
    </row>
    <row r="53" customFormat="false" ht="15" hidden="false" customHeight="false" outlineLevel="0" collapsed="false">
      <c r="A53" s="17" t="str">
        <f aca="false">IF(OR(D53&gt;=5,F53&gt;=3),"A",IF(OR(D53&gt;=3,F53&gt;=2),"B","C"))</f>
        <v>C</v>
      </c>
      <c r="B53" s="11" t="s">
        <v>97</v>
      </c>
      <c r="C53" s="11" t="s">
        <v>44</v>
      </c>
      <c r="D53" s="4" t="n">
        <f aca="false">COUNTIF(問題一覧!$D$5:$D$254,B53)</f>
        <v>2</v>
      </c>
      <c r="E53" s="4" t="n">
        <f aca="false">COUNTIFS(問題一覧!$D$5:$D$254,B53,問題一覧!$E$5:$E$254,"&gt;=0")</f>
        <v>2</v>
      </c>
      <c r="F53" s="4" t="n">
        <f aca="false">COUNTIFS(問題一覧!$D$5:$D$254,B53,問題一覧!$A$5:$A$254,"&gt;=2023")</f>
        <v>1</v>
      </c>
      <c r="G53" s="4" t="n">
        <f aca="false">_xlfn.MAXIFS(問題一覧!$A$5:$A$254,問題一覧!$D$5:$D$254,B53)</f>
        <v>2023</v>
      </c>
      <c r="H53" s="11" t="s">
        <v>346</v>
      </c>
      <c r="I53" s="5"/>
    </row>
    <row r="54" customFormat="false" ht="15" hidden="false" customHeight="false" outlineLevel="0" collapsed="false">
      <c r="A54" s="17" t="str">
        <f aca="false">IF(OR(D54&gt;=5,F54&gt;=3),"A",IF(OR(D54&gt;=3,F54&gt;=2),"B","C"))</f>
        <v>C</v>
      </c>
      <c r="B54" s="11" t="s">
        <v>108</v>
      </c>
      <c r="C54" s="11" t="s">
        <v>38</v>
      </c>
      <c r="D54" s="4" t="n">
        <f aca="false">COUNTIF(問題一覧!$D$5:$D$254,B54)</f>
        <v>2</v>
      </c>
      <c r="E54" s="4" t="n">
        <f aca="false">COUNTIFS(問題一覧!$D$5:$D$254,B54,問題一覧!$E$5:$E$254,"&gt;=0")</f>
        <v>2</v>
      </c>
      <c r="F54" s="4" t="n">
        <f aca="false">COUNTIFS(問題一覧!$D$5:$D$254,B54,問題一覧!$A$5:$A$254,"&gt;=2023")</f>
        <v>1</v>
      </c>
      <c r="G54" s="4" t="n">
        <f aca="false">_xlfn.MAXIFS(問題一覧!$A$5:$A$254,問題一覧!$D$5:$D$254,B54)</f>
        <v>2023</v>
      </c>
      <c r="H54" s="11" t="s">
        <v>347</v>
      </c>
      <c r="I54" s="5"/>
    </row>
    <row r="55" customFormat="false" ht="15" hidden="false" customHeight="false" outlineLevel="0" collapsed="false">
      <c r="A55" s="17" t="str">
        <f aca="false">IF(OR(D55&gt;=5,F55&gt;=3),"A",IF(OR(D55&gt;=3,F55&gt;=2),"B","C"))</f>
        <v>C</v>
      </c>
      <c r="B55" s="5" t="s">
        <v>91</v>
      </c>
      <c r="C55" s="11" t="s">
        <v>38</v>
      </c>
      <c r="D55" s="4" t="n">
        <f aca="false">COUNTIF(問題一覧!$D$5:$D$254,B55)</f>
        <v>2</v>
      </c>
      <c r="E55" s="4" t="n">
        <f aca="false">COUNTIFS(問題一覧!$D$5:$D$254,B55,問題一覧!$E$5:$E$254,"&gt;=0")</f>
        <v>0</v>
      </c>
      <c r="F55" s="4" t="n">
        <f aca="false">COUNTIFS(問題一覧!$D$5:$D$254,B55,問題一覧!$A$5:$A$254,"&gt;=2023")</f>
        <v>0</v>
      </c>
      <c r="G55" s="4" t="n">
        <f aca="false">_xlfn.MAXIFS(問題一覧!$A$5:$A$254,問題一覧!$D$5:$D$254,B55)</f>
        <v>2022</v>
      </c>
      <c r="H55" s="11" t="s">
        <v>348</v>
      </c>
      <c r="I55" s="5" t="s">
        <v>349</v>
      </c>
    </row>
    <row r="56" customFormat="false" ht="15" hidden="false" customHeight="false" outlineLevel="0" collapsed="false">
      <c r="A56" s="17" t="str">
        <f aca="false">IF(OR(D56&gt;=5,F56&gt;=3),"A",IF(OR(D56&gt;=3,F56&gt;=2),"B","C"))</f>
        <v>C</v>
      </c>
      <c r="B56" s="11" t="s">
        <v>92</v>
      </c>
      <c r="C56" s="11" t="s">
        <v>38</v>
      </c>
      <c r="D56" s="4" t="n">
        <f aca="false">COUNTIF(問題一覧!$D$5:$D$254,B56)</f>
        <v>2</v>
      </c>
      <c r="E56" s="4" t="n">
        <f aca="false">COUNTIFS(問題一覧!$D$5:$D$254,B56,問題一覧!$E$5:$E$254,"&gt;=0")</f>
        <v>2</v>
      </c>
      <c r="F56" s="4" t="n">
        <f aca="false">COUNTIFS(問題一覧!$D$5:$D$254,B56,問題一覧!$A$5:$A$254,"&gt;=2023")</f>
        <v>0</v>
      </c>
      <c r="G56" s="4" t="n">
        <f aca="false">_xlfn.MAXIFS(問題一覧!$A$5:$A$254,問題一覧!$D$5:$D$254,B56)</f>
        <v>2022</v>
      </c>
      <c r="H56" s="11" t="s">
        <v>348</v>
      </c>
      <c r="I56" s="5" t="s">
        <v>350</v>
      </c>
    </row>
    <row r="57" customFormat="false" ht="15" hidden="false" customHeight="false" outlineLevel="0" collapsed="false">
      <c r="A57" s="17" t="str">
        <f aca="false">IF(OR(D57&gt;=5,F57&gt;=3),"A",IF(OR(D57&gt;=3,F57&gt;=2),"B","C"))</f>
        <v>C</v>
      </c>
      <c r="B57" s="5" t="s">
        <v>89</v>
      </c>
      <c r="C57" s="11" t="s">
        <v>38</v>
      </c>
      <c r="D57" s="4" t="n">
        <f aca="false">COUNTIF(問題一覧!$D$5:$D$254,B57)</f>
        <v>2</v>
      </c>
      <c r="E57" s="4" t="n">
        <f aca="false">COUNTIFS(問題一覧!$D$5:$D$254,B57,問題一覧!$E$5:$E$254,"&gt;=0")</f>
        <v>2</v>
      </c>
      <c r="F57" s="4" t="n">
        <f aca="false">COUNTIFS(問題一覧!$D$5:$D$254,B57,問題一覧!$A$5:$A$254,"&gt;=2023")</f>
        <v>0</v>
      </c>
      <c r="G57" s="4" t="n">
        <f aca="false">_xlfn.MAXIFS(問題一覧!$A$5:$A$254,問題一覧!$D$5:$D$254,B57)</f>
        <v>2021</v>
      </c>
      <c r="H57" s="11" t="s">
        <v>351</v>
      </c>
      <c r="I57" s="5"/>
    </row>
    <row r="58" customFormat="false" ht="15" hidden="false" customHeight="false" outlineLevel="0" collapsed="false">
      <c r="A58" s="17" t="str">
        <f aca="false">IF(OR(D58&gt;=5,F58&gt;=3),"A",IF(OR(D58&gt;=3,F58&gt;=2),"B","C"))</f>
        <v>C</v>
      </c>
      <c r="B58" s="5" t="s">
        <v>57</v>
      </c>
      <c r="C58" s="11" t="s">
        <v>56</v>
      </c>
      <c r="D58" s="4" t="n">
        <f aca="false">COUNTIF(問題一覧!$D$5:$D$254,B58)</f>
        <v>2</v>
      </c>
      <c r="E58" s="4" t="n">
        <f aca="false">COUNTIFS(問題一覧!$D$5:$D$254,B58,問題一覧!$E$5:$E$254,"&gt;=0")</f>
        <v>0</v>
      </c>
      <c r="F58" s="4" t="n">
        <f aca="false">COUNTIFS(問題一覧!$D$5:$D$254,B58,問題一覧!$A$5:$A$254,"&gt;=2023")</f>
        <v>0</v>
      </c>
      <c r="G58" s="4" t="n">
        <f aca="false">_xlfn.MAXIFS(問題一覧!$A$5:$A$254,問題一覧!$D$5:$D$254,B58)</f>
        <v>2019</v>
      </c>
      <c r="H58" s="11" t="s">
        <v>352</v>
      </c>
      <c r="I58" s="5"/>
    </row>
    <row r="59" customFormat="false" ht="15" hidden="false" customHeight="false" outlineLevel="0" collapsed="false">
      <c r="A59" s="17" t="str">
        <f aca="false">IF(OR(D59&gt;=5,F59&gt;=3),"A",IF(OR(D59&gt;=3,F59&gt;=2),"B","C"))</f>
        <v>C</v>
      </c>
      <c r="B59" s="5" t="s">
        <v>69</v>
      </c>
      <c r="C59" s="11" t="s">
        <v>38</v>
      </c>
      <c r="D59" s="4" t="n">
        <f aca="false">COUNTIF(問題一覧!$D$5:$D$254,B59)</f>
        <v>2</v>
      </c>
      <c r="E59" s="4" t="n">
        <f aca="false">COUNTIFS(問題一覧!$D$5:$D$254,B59,問題一覧!$E$5:$E$254,"&gt;=0")</f>
        <v>2</v>
      </c>
      <c r="F59" s="4" t="n">
        <f aca="false">COUNTIFS(問題一覧!$D$5:$D$254,B59,問題一覧!$A$5:$A$254,"&gt;=2023")</f>
        <v>0</v>
      </c>
      <c r="G59" s="4" t="n">
        <f aca="false">_xlfn.MAXIFS(問題一覧!$A$5:$A$254,問題一覧!$D$5:$D$254,B59)</f>
        <v>2019</v>
      </c>
      <c r="H59" s="11" t="s">
        <v>327</v>
      </c>
      <c r="I59" s="5"/>
    </row>
    <row r="60" customFormat="false" ht="15" hidden="false" customHeight="false" outlineLevel="0" collapsed="false">
      <c r="A60" s="17" t="str">
        <f aca="false">IF(OR(D60&gt;=5,F60&gt;=3),"A",IF(OR(D60&gt;=3,F60&gt;=2),"B","C"))</f>
        <v>C</v>
      </c>
      <c r="B60" s="5" t="s">
        <v>106</v>
      </c>
      <c r="C60" s="11" t="s">
        <v>60</v>
      </c>
      <c r="D60" s="4" t="n">
        <f aca="false">COUNTIF(問題一覧!$D$5:$D$254,B60)</f>
        <v>2</v>
      </c>
      <c r="E60" s="4" t="n">
        <f aca="false">COUNTIFS(問題一覧!$D$5:$D$254,B60,問題一覧!$E$5:$E$254,"&gt;=0")</f>
        <v>0</v>
      </c>
      <c r="F60" s="4" t="n">
        <f aca="false">COUNTIFS(問題一覧!$D$5:$D$254,B60,問題一覧!$A$5:$A$254,"&gt;=2023")</f>
        <v>0</v>
      </c>
      <c r="G60" s="4" t="n">
        <f aca="false">_xlfn.MAXIFS(問題一覧!$A$5:$A$254,問題一覧!$D$5:$D$254,B60)</f>
        <v>2019</v>
      </c>
      <c r="H60" s="11" t="s">
        <v>353</v>
      </c>
      <c r="I60" s="5"/>
    </row>
    <row r="61" customFormat="false" ht="15" hidden="false" customHeight="false" outlineLevel="0" collapsed="false">
      <c r="A61" s="17" t="str">
        <f aca="false">IF(OR(D61&gt;=5,F61&gt;=3),"A",IF(OR(D61&gt;=3,F61&gt;=2),"B","C"))</f>
        <v>C</v>
      </c>
      <c r="B61" s="5" t="s">
        <v>47</v>
      </c>
      <c r="C61" s="11" t="s">
        <v>38</v>
      </c>
      <c r="D61" s="4" t="n">
        <f aca="false">COUNTIF(問題一覧!$D$5:$D$254,B61)</f>
        <v>2</v>
      </c>
      <c r="E61" s="4" t="n">
        <f aca="false">COUNTIFS(問題一覧!$D$5:$D$254,B61,問題一覧!$E$5:$E$254,"&gt;=0")</f>
        <v>2</v>
      </c>
      <c r="F61" s="4" t="n">
        <f aca="false">COUNTIFS(問題一覧!$D$5:$D$254,B61,問題一覧!$A$5:$A$254,"&gt;=2023")</f>
        <v>0</v>
      </c>
      <c r="G61" s="4" t="n">
        <f aca="false">_xlfn.MAXIFS(問題一覧!$A$5:$A$254,問題一覧!$D$5:$D$254,B61)</f>
        <v>2018</v>
      </c>
      <c r="H61" s="11" t="s">
        <v>354</v>
      </c>
      <c r="I61" s="5"/>
    </row>
    <row r="62" customFormat="false" ht="29.85" hidden="false" customHeight="false" outlineLevel="0" collapsed="false">
      <c r="A62" s="17" t="str">
        <f aca="false">IF(OR(D62&gt;=5,F62&gt;=3),"A",IF(OR(D62&gt;=3,F62&gt;=2),"B","C"))</f>
        <v>C</v>
      </c>
      <c r="B62" s="5" t="s">
        <v>51</v>
      </c>
      <c r="C62" s="11" t="s">
        <v>50</v>
      </c>
      <c r="D62" s="4" t="n">
        <f aca="false">COUNTIF(問題一覧!$D$5:$D$254,B62)</f>
        <v>2</v>
      </c>
      <c r="E62" s="4" t="n">
        <f aca="false">COUNTIFS(問題一覧!$D$5:$D$254,B62,問題一覧!$E$5:$E$254,"&gt;=0")</f>
        <v>2</v>
      </c>
      <c r="F62" s="4" t="n">
        <f aca="false">COUNTIFS(問題一覧!$D$5:$D$254,B62,問題一覧!$A$5:$A$254,"&gt;=2023")</f>
        <v>0</v>
      </c>
      <c r="G62" s="4" t="n">
        <f aca="false">_xlfn.MAXIFS(問題一覧!$A$5:$A$254,問題一覧!$D$5:$D$254,B62)</f>
        <v>2017</v>
      </c>
      <c r="H62" s="11" t="s">
        <v>355</v>
      </c>
      <c r="I62" s="5"/>
    </row>
    <row r="63" customFormat="false" ht="15" hidden="false" customHeight="false" outlineLevel="0" collapsed="false">
      <c r="A63" s="17" t="str">
        <f aca="false">IF(OR(D63&gt;=5,F63&gt;=3),"A",IF(OR(D63&gt;=3,F63&gt;=2),"B","C"))</f>
        <v>C</v>
      </c>
      <c r="B63" s="5" t="s">
        <v>70</v>
      </c>
      <c r="C63" s="11" t="s">
        <v>60</v>
      </c>
      <c r="D63" s="4" t="n">
        <f aca="false">COUNTIF(問題一覧!$D$5:$D$254,B63)</f>
        <v>2</v>
      </c>
      <c r="E63" s="4" t="n">
        <f aca="false">COUNTIFS(問題一覧!$D$5:$D$254,B63,問題一覧!$E$5:$E$254,"&gt;=0")</f>
        <v>0</v>
      </c>
      <c r="F63" s="4" t="n">
        <f aca="false">COUNTIFS(問題一覧!$D$5:$D$254,B63,問題一覧!$A$5:$A$254,"&gt;=2023")</f>
        <v>0</v>
      </c>
      <c r="G63" s="4" t="n">
        <f aca="false">_xlfn.MAXIFS(問題一覧!$A$5:$A$254,問題一覧!$D$5:$D$254,B63)</f>
        <v>2017</v>
      </c>
      <c r="H63" s="11" t="s">
        <v>356</v>
      </c>
      <c r="I63" s="5"/>
    </row>
    <row r="64" customFormat="false" ht="15" hidden="false" customHeight="false" outlineLevel="0" collapsed="false">
      <c r="A64" s="17" t="str">
        <f aca="false">IF(OR(D64&gt;=5,F64&gt;=3),"A",IF(OR(D64&gt;=3,F64&gt;=2),"B","C"))</f>
        <v>C</v>
      </c>
      <c r="B64" s="11" t="s">
        <v>133</v>
      </c>
      <c r="C64" s="11" t="s">
        <v>64</v>
      </c>
      <c r="D64" s="4" t="n">
        <f aca="false">COUNTIF(問題一覧!$D$5:$D$254,B64)</f>
        <v>1</v>
      </c>
      <c r="E64" s="4" t="n">
        <f aca="false">COUNTIFS(問題一覧!$D$5:$D$254,B64,問題一覧!$E$5:$E$254,"&gt;=0")</f>
        <v>0</v>
      </c>
      <c r="F64" s="4" t="n">
        <f aca="false">COUNTIFS(問題一覧!$D$5:$D$254,B64,問題一覧!$A$5:$A$254,"&gt;=2023")</f>
        <v>1</v>
      </c>
      <c r="G64" s="4" t="n">
        <f aca="false">_xlfn.MAXIFS(問題一覧!$A$5:$A$254,問題一覧!$D$5:$D$254,B64)</f>
        <v>2025</v>
      </c>
      <c r="H64" s="11" t="s">
        <v>249</v>
      </c>
      <c r="I64" s="5" t="s">
        <v>357</v>
      </c>
    </row>
    <row r="65" customFormat="false" ht="15" hidden="false" customHeight="false" outlineLevel="0" collapsed="false">
      <c r="A65" s="17" t="str">
        <f aca="false">IF(OR(D65&gt;=5,F65&gt;=3),"A",IF(OR(D65&gt;=3,F65&gt;=2),"B","C"))</f>
        <v>C</v>
      </c>
      <c r="B65" s="5" t="s">
        <v>135</v>
      </c>
      <c r="C65" s="11" t="s">
        <v>38</v>
      </c>
      <c r="D65" s="4" t="n">
        <f aca="false">COUNTIF(問題一覧!$D$5:$D$254,B65)</f>
        <v>1</v>
      </c>
      <c r="E65" s="4" t="n">
        <f aca="false">COUNTIFS(問題一覧!$D$5:$D$254,B65,問題一覧!$E$5:$E$254,"&gt;=0")</f>
        <v>0</v>
      </c>
      <c r="F65" s="4" t="n">
        <f aca="false">COUNTIFS(問題一覧!$D$5:$D$254,B65,問題一覧!$A$5:$A$254,"&gt;=2023")</f>
        <v>1</v>
      </c>
      <c r="G65" s="4" t="n">
        <f aca="false">_xlfn.MAXIFS(問題一覧!$A$5:$A$254,問題一覧!$D$5:$D$254,B65)</f>
        <v>2025</v>
      </c>
      <c r="H65" s="11" t="s">
        <v>249</v>
      </c>
      <c r="I65" s="5"/>
    </row>
    <row r="66" customFormat="false" ht="15" hidden="false" customHeight="false" outlineLevel="0" collapsed="false">
      <c r="A66" s="17" t="str">
        <f aca="false">IF(OR(D66&gt;=5,F66&gt;=3),"A",IF(OR(D66&gt;=3,F66&gt;=2),"B","C"))</f>
        <v>C</v>
      </c>
      <c r="B66" s="11" t="s">
        <v>136</v>
      </c>
      <c r="C66" s="11" t="s">
        <v>64</v>
      </c>
      <c r="D66" s="4" t="n">
        <f aca="false">COUNTIF(問題一覧!$D$5:$D$254,B66)</f>
        <v>1</v>
      </c>
      <c r="E66" s="4" t="n">
        <f aca="false">COUNTIFS(問題一覧!$D$5:$D$254,B66,問題一覧!$E$5:$E$254,"&gt;=0")</f>
        <v>0</v>
      </c>
      <c r="F66" s="4" t="n">
        <f aca="false">COUNTIFS(問題一覧!$D$5:$D$254,B66,問題一覧!$A$5:$A$254,"&gt;=2023")</f>
        <v>1</v>
      </c>
      <c r="G66" s="4" t="n">
        <f aca="false">_xlfn.MAXIFS(問題一覧!$A$5:$A$254,問題一覧!$D$5:$D$254,B66)</f>
        <v>2025</v>
      </c>
      <c r="H66" s="11" t="s">
        <v>249</v>
      </c>
      <c r="I66" s="5" t="s">
        <v>358</v>
      </c>
    </row>
    <row r="67" customFormat="false" ht="15" hidden="false" customHeight="false" outlineLevel="0" collapsed="false">
      <c r="A67" s="17" t="str">
        <f aca="false">IF(OR(D67&gt;=5,F67&gt;=3),"A",IF(OR(D67&gt;=3,F67&gt;=2),"B","C"))</f>
        <v>C</v>
      </c>
      <c r="B67" s="5" t="s">
        <v>137</v>
      </c>
      <c r="C67" s="11" t="s">
        <v>44</v>
      </c>
      <c r="D67" s="4" t="n">
        <f aca="false">COUNTIF(問題一覧!$D$5:$D$254,B67)</f>
        <v>1</v>
      </c>
      <c r="E67" s="4" t="n">
        <f aca="false">COUNTIFS(問題一覧!$D$5:$D$254,B67,問題一覧!$E$5:$E$254,"&gt;=0")</f>
        <v>0</v>
      </c>
      <c r="F67" s="4" t="n">
        <f aca="false">COUNTIFS(問題一覧!$D$5:$D$254,B67,問題一覧!$A$5:$A$254,"&gt;=2023")</f>
        <v>1</v>
      </c>
      <c r="G67" s="4" t="n">
        <f aca="false">_xlfn.MAXIFS(問題一覧!$A$5:$A$254,問題一覧!$D$5:$D$254,B67)</f>
        <v>2025</v>
      </c>
      <c r="H67" s="11" t="s">
        <v>249</v>
      </c>
      <c r="I67" s="5"/>
    </row>
    <row r="68" customFormat="false" ht="15" hidden="false" customHeight="false" outlineLevel="0" collapsed="false">
      <c r="A68" s="17" t="str">
        <f aca="false">IF(OR(D68&gt;=5,F68&gt;=3),"A",IF(OR(D68&gt;=3,F68&gt;=2),"B","C"))</f>
        <v>C</v>
      </c>
      <c r="B68" s="5" t="s">
        <v>138</v>
      </c>
      <c r="C68" s="11" t="s">
        <v>109</v>
      </c>
      <c r="D68" s="4" t="n">
        <f aca="false">COUNTIF(問題一覧!$D$5:$D$254,B68)</f>
        <v>1</v>
      </c>
      <c r="E68" s="4" t="n">
        <f aca="false">COUNTIFS(問題一覧!$D$5:$D$254,B68,問題一覧!$E$5:$E$254,"&gt;=0")</f>
        <v>0</v>
      </c>
      <c r="F68" s="4" t="n">
        <f aca="false">COUNTIFS(問題一覧!$D$5:$D$254,B68,問題一覧!$A$5:$A$254,"&gt;=2023")</f>
        <v>1</v>
      </c>
      <c r="G68" s="4" t="n">
        <f aca="false">_xlfn.MAXIFS(問題一覧!$A$5:$A$254,問題一覧!$D$5:$D$254,B68)</f>
        <v>2025</v>
      </c>
      <c r="H68" s="11" t="s">
        <v>249</v>
      </c>
      <c r="I68" s="5"/>
    </row>
    <row r="69" customFormat="false" ht="15" hidden="false" customHeight="false" outlineLevel="0" collapsed="false">
      <c r="A69" s="17" t="str">
        <f aca="false">IF(OR(D69&gt;=5,F69&gt;=3),"A",IF(OR(D69&gt;=3,F69&gt;=2),"B","C"))</f>
        <v>C</v>
      </c>
      <c r="B69" s="5" t="s">
        <v>131</v>
      </c>
      <c r="C69" s="11" t="s">
        <v>38</v>
      </c>
      <c r="D69" s="4" t="n">
        <f aca="false">COUNTIF(問題一覧!$D$5:$D$254,B69)</f>
        <v>1</v>
      </c>
      <c r="E69" s="4" t="n">
        <f aca="false">COUNTIFS(問題一覧!$D$5:$D$254,B69,問題一覧!$E$5:$E$254,"&gt;=0")</f>
        <v>0</v>
      </c>
      <c r="F69" s="4" t="n">
        <f aca="false">COUNTIFS(問題一覧!$D$5:$D$254,B69,問題一覧!$A$5:$A$254,"&gt;=2023")</f>
        <v>1</v>
      </c>
      <c r="G69" s="4" t="n">
        <f aca="false">_xlfn.MAXIFS(問題一覧!$A$5:$A$254,問題一覧!$D$5:$D$254,B69)</f>
        <v>2024</v>
      </c>
      <c r="H69" s="11" t="s">
        <v>248</v>
      </c>
      <c r="I69" s="5"/>
    </row>
    <row r="70" customFormat="false" ht="15" hidden="false" customHeight="false" outlineLevel="0" collapsed="false">
      <c r="A70" s="17" t="str">
        <f aca="false">IF(OR(D70&gt;=5,F70&gt;=3),"A",IF(OR(D70&gt;=3,F70&gt;=2),"B","C"))</f>
        <v>C</v>
      </c>
      <c r="B70" s="11" t="s">
        <v>132</v>
      </c>
      <c r="C70" s="11" t="s">
        <v>62</v>
      </c>
      <c r="D70" s="4" t="n">
        <f aca="false">COUNTIF(問題一覧!$D$5:$D$254,B70)</f>
        <v>1</v>
      </c>
      <c r="E70" s="4" t="n">
        <f aca="false">COUNTIFS(問題一覧!$D$5:$D$254,B70,問題一覧!$E$5:$E$254,"&gt;=0")</f>
        <v>0</v>
      </c>
      <c r="F70" s="4" t="n">
        <f aca="false">COUNTIFS(問題一覧!$D$5:$D$254,B70,問題一覧!$A$5:$A$254,"&gt;=2023")</f>
        <v>1</v>
      </c>
      <c r="G70" s="4" t="n">
        <f aca="false">_xlfn.MAXIFS(問題一覧!$A$5:$A$254,問題一覧!$D$5:$D$254,B70)</f>
        <v>2024</v>
      </c>
      <c r="H70" s="11" t="s">
        <v>248</v>
      </c>
      <c r="I70" s="5"/>
    </row>
    <row r="71" customFormat="false" ht="15" hidden="false" customHeight="false" outlineLevel="0" collapsed="false">
      <c r="A71" s="17" t="str">
        <f aca="false">IF(OR(D71&gt;=5,F71&gt;=3),"A",IF(OR(D71&gt;=3,F71&gt;=2),"B","C"))</f>
        <v>C</v>
      </c>
      <c r="B71" s="5" t="s">
        <v>129</v>
      </c>
      <c r="C71" s="11" t="s">
        <v>78</v>
      </c>
      <c r="D71" s="4" t="n">
        <f aca="false">COUNTIF(問題一覧!$D$5:$D$254,B71)</f>
        <v>1</v>
      </c>
      <c r="E71" s="4" t="n">
        <f aca="false">COUNTIFS(問題一覧!$D$5:$D$254,B71,問題一覧!$E$5:$E$254,"&gt;=0")</f>
        <v>0</v>
      </c>
      <c r="F71" s="4" t="n">
        <f aca="false">COUNTIFS(問題一覧!$D$5:$D$254,B71,問題一覧!$A$5:$A$254,"&gt;=2023")</f>
        <v>1</v>
      </c>
      <c r="G71" s="4" t="n">
        <f aca="false">_xlfn.MAXIFS(問題一覧!$A$5:$A$254,問題一覧!$D$5:$D$254,B71)</f>
        <v>2023</v>
      </c>
      <c r="H71" s="11" t="s">
        <v>247</v>
      </c>
      <c r="I71" s="5"/>
    </row>
    <row r="72" customFormat="false" ht="15" hidden="false" customHeight="false" outlineLevel="0" collapsed="false">
      <c r="A72" s="17" t="str">
        <f aca="false">IF(OR(D72&gt;=5,F72&gt;=3),"A",IF(OR(D72&gt;=3,F72&gt;=2),"B","C"))</f>
        <v>C</v>
      </c>
      <c r="B72" s="11" t="s">
        <v>126</v>
      </c>
      <c r="C72" s="11" t="s">
        <v>64</v>
      </c>
      <c r="D72" s="4" t="n">
        <f aca="false">COUNTIF(問題一覧!$D$5:$D$254,B72)</f>
        <v>1</v>
      </c>
      <c r="E72" s="4" t="n">
        <f aca="false">COUNTIFS(問題一覧!$D$5:$D$254,B72,問題一覧!$E$5:$E$254,"&gt;=0")</f>
        <v>0</v>
      </c>
      <c r="F72" s="4" t="n">
        <f aca="false">COUNTIFS(問題一覧!$D$5:$D$254,B72,問題一覧!$A$5:$A$254,"&gt;=2023")</f>
        <v>0</v>
      </c>
      <c r="G72" s="4" t="n">
        <f aca="false">_xlfn.MAXIFS(問題一覧!$A$5:$A$254,問題一覧!$D$5:$D$254,B72)</f>
        <v>2022</v>
      </c>
      <c r="H72" s="11" t="s">
        <v>246</v>
      </c>
      <c r="I72" s="5"/>
    </row>
    <row r="73" customFormat="false" ht="15" hidden="false" customHeight="false" outlineLevel="0" collapsed="false">
      <c r="A73" s="17" t="str">
        <f aca="false">IF(OR(D73&gt;=5,F73&gt;=3),"A",IF(OR(D73&gt;=3,F73&gt;=2),"B","C"))</f>
        <v>C</v>
      </c>
      <c r="B73" s="11" t="s">
        <v>128</v>
      </c>
      <c r="C73" s="11" t="s">
        <v>60</v>
      </c>
      <c r="D73" s="4" t="n">
        <f aca="false">COUNTIF(問題一覧!$D$5:$D$254,B73)</f>
        <v>1</v>
      </c>
      <c r="E73" s="4" t="n">
        <f aca="false">COUNTIFS(問題一覧!$D$5:$D$254,B73,問題一覧!$E$5:$E$254,"&gt;=0")</f>
        <v>0</v>
      </c>
      <c r="F73" s="4" t="n">
        <f aca="false">COUNTIFS(問題一覧!$D$5:$D$254,B73,問題一覧!$A$5:$A$254,"&gt;=2023")</f>
        <v>0</v>
      </c>
      <c r="G73" s="4" t="n">
        <f aca="false">_xlfn.MAXIFS(問題一覧!$A$5:$A$254,問題一覧!$D$5:$D$254,B73)</f>
        <v>2022</v>
      </c>
      <c r="H73" s="11" t="s">
        <v>246</v>
      </c>
      <c r="I73" s="5"/>
    </row>
    <row r="74" customFormat="false" ht="15" hidden="false" customHeight="false" outlineLevel="0" collapsed="false">
      <c r="A74" s="17" t="str">
        <f aca="false">IF(OR(D74&gt;=5,F74&gt;=3),"A",IF(OR(D74&gt;=3,F74&gt;=2),"B","C"))</f>
        <v>C</v>
      </c>
      <c r="B74" s="5" t="s">
        <v>116</v>
      </c>
      <c r="C74" s="11" t="s">
        <v>38</v>
      </c>
      <c r="D74" s="4" t="n">
        <f aca="false">COUNTIF(問題一覧!$D$5:$D$254,B74)</f>
        <v>1</v>
      </c>
      <c r="E74" s="4" t="n">
        <f aca="false">COUNTIFS(問題一覧!$D$5:$D$254,B74,問題一覧!$E$5:$E$254,"&gt;=0")</f>
        <v>0</v>
      </c>
      <c r="F74" s="4" t="n">
        <f aca="false">COUNTIFS(問題一覧!$D$5:$D$254,B74,問題一覧!$A$5:$A$254,"&gt;=2023")</f>
        <v>0</v>
      </c>
      <c r="G74" s="4" t="n">
        <f aca="false">_xlfn.MAXIFS(問題一覧!$A$5:$A$254,問題一覧!$D$5:$D$254,B74)</f>
        <v>2021</v>
      </c>
      <c r="H74" s="11" t="s">
        <v>245</v>
      </c>
      <c r="I74" s="5"/>
    </row>
    <row r="75" customFormat="false" ht="15" hidden="false" customHeight="false" outlineLevel="0" collapsed="false">
      <c r="A75" s="17" t="str">
        <f aca="false">IF(OR(D75&gt;=5,F75&gt;=3),"A",IF(OR(D75&gt;=3,F75&gt;=2),"B","C"))</f>
        <v>C</v>
      </c>
      <c r="B75" s="5" t="s">
        <v>118</v>
      </c>
      <c r="C75" s="11" t="s">
        <v>38</v>
      </c>
      <c r="D75" s="4" t="n">
        <f aca="false">COUNTIF(問題一覧!$D$5:$D$254,B75)</f>
        <v>1</v>
      </c>
      <c r="E75" s="4" t="n">
        <f aca="false">COUNTIFS(問題一覧!$D$5:$D$254,B75,問題一覧!$E$5:$E$254,"&gt;=0")</f>
        <v>0</v>
      </c>
      <c r="F75" s="4" t="n">
        <f aca="false">COUNTIFS(問題一覧!$D$5:$D$254,B75,問題一覧!$A$5:$A$254,"&gt;=2023")</f>
        <v>0</v>
      </c>
      <c r="G75" s="4" t="n">
        <f aca="false">_xlfn.MAXIFS(問題一覧!$A$5:$A$254,問題一覧!$D$5:$D$254,B75)</f>
        <v>2021</v>
      </c>
      <c r="H75" s="11" t="s">
        <v>245</v>
      </c>
      <c r="I75" s="5"/>
    </row>
    <row r="76" customFormat="false" ht="29.85" hidden="false" customHeight="false" outlineLevel="0" collapsed="false">
      <c r="A76" s="17" t="str">
        <f aca="false">IF(OR(D76&gt;=5,F76&gt;=3),"A",IF(OR(D76&gt;=3,F76&gt;=2),"B","C"))</f>
        <v>C</v>
      </c>
      <c r="B76" s="5" t="s">
        <v>119</v>
      </c>
      <c r="C76" s="11" t="s">
        <v>50</v>
      </c>
      <c r="D76" s="4" t="n">
        <f aca="false">COUNTIF(問題一覧!$D$5:$D$254,B76)</f>
        <v>1</v>
      </c>
      <c r="E76" s="4" t="n">
        <f aca="false">COUNTIFS(問題一覧!$D$5:$D$254,B76,問題一覧!$E$5:$E$254,"&gt;=0")</f>
        <v>0</v>
      </c>
      <c r="F76" s="4" t="n">
        <f aca="false">COUNTIFS(問題一覧!$D$5:$D$254,B76,問題一覧!$A$5:$A$254,"&gt;=2023")</f>
        <v>0</v>
      </c>
      <c r="G76" s="4" t="n">
        <f aca="false">_xlfn.MAXIFS(問題一覧!$A$5:$A$254,問題一覧!$D$5:$D$254,B76)</f>
        <v>2021</v>
      </c>
      <c r="H76" s="11" t="s">
        <v>245</v>
      </c>
      <c r="I76" s="5"/>
    </row>
    <row r="77" customFormat="false" ht="15" hidden="false" customHeight="false" outlineLevel="0" collapsed="false">
      <c r="A77" s="17" t="str">
        <f aca="false">IF(OR(D77&gt;=5,F77&gt;=3),"A",IF(OR(D77&gt;=3,F77&gt;=2),"B","C"))</f>
        <v>C</v>
      </c>
      <c r="B77" s="11" t="s">
        <v>120</v>
      </c>
      <c r="C77" s="11" t="s">
        <v>64</v>
      </c>
      <c r="D77" s="4" t="n">
        <f aca="false">COUNTIF(問題一覧!$D$5:$D$254,B77)</f>
        <v>1</v>
      </c>
      <c r="E77" s="4" t="n">
        <f aca="false">COUNTIFS(問題一覧!$D$5:$D$254,B77,問題一覧!$E$5:$E$254,"&gt;=0")</f>
        <v>0</v>
      </c>
      <c r="F77" s="4" t="n">
        <f aca="false">COUNTIFS(問題一覧!$D$5:$D$254,B77,問題一覧!$A$5:$A$254,"&gt;=2023")</f>
        <v>0</v>
      </c>
      <c r="G77" s="4" t="n">
        <f aca="false">_xlfn.MAXIFS(問題一覧!$A$5:$A$254,問題一覧!$D$5:$D$254,B77)</f>
        <v>2021</v>
      </c>
      <c r="H77" s="11" t="s">
        <v>245</v>
      </c>
      <c r="I77" s="5"/>
    </row>
    <row r="78" customFormat="false" ht="15" hidden="false" customHeight="false" outlineLevel="0" collapsed="false">
      <c r="A78" s="17" t="str">
        <f aca="false">IF(OR(D78&gt;=5,F78&gt;=3),"A",IF(OR(D78&gt;=3,F78&gt;=2),"B","C"))</f>
        <v>C</v>
      </c>
      <c r="B78" s="5" t="s">
        <v>121</v>
      </c>
      <c r="C78" s="11" t="s">
        <v>60</v>
      </c>
      <c r="D78" s="4" t="n">
        <f aca="false">COUNTIF(問題一覧!$D$5:$D$254,B78)</f>
        <v>1</v>
      </c>
      <c r="E78" s="4" t="n">
        <f aca="false">COUNTIFS(問題一覧!$D$5:$D$254,B78,問題一覧!$E$5:$E$254,"&gt;=0")</f>
        <v>0</v>
      </c>
      <c r="F78" s="4" t="n">
        <f aca="false">COUNTIFS(問題一覧!$D$5:$D$254,B78,問題一覧!$A$5:$A$254,"&gt;=2023")</f>
        <v>0</v>
      </c>
      <c r="G78" s="4" t="n">
        <f aca="false">_xlfn.MAXIFS(問題一覧!$A$5:$A$254,問題一覧!$D$5:$D$254,B78)</f>
        <v>2021</v>
      </c>
      <c r="H78" s="11" t="s">
        <v>245</v>
      </c>
      <c r="I78" s="5"/>
    </row>
    <row r="79" customFormat="false" ht="15" hidden="false" customHeight="false" outlineLevel="0" collapsed="false">
      <c r="A79" s="17" t="str">
        <f aca="false">IF(OR(D79&gt;=5,F79&gt;=3),"A",IF(OR(D79&gt;=3,F79&gt;=2),"B","C"))</f>
        <v>C</v>
      </c>
      <c r="B79" s="11" t="s">
        <v>122</v>
      </c>
      <c r="C79" s="11" t="s">
        <v>62</v>
      </c>
      <c r="D79" s="4" t="n">
        <f aca="false">COUNTIF(問題一覧!$D$5:$D$254,B79)</f>
        <v>1</v>
      </c>
      <c r="E79" s="4" t="n">
        <f aca="false">COUNTIFS(問題一覧!$D$5:$D$254,B79,問題一覧!$E$5:$E$254,"&gt;=0")</f>
        <v>0</v>
      </c>
      <c r="F79" s="4" t="n">
        <f aca="false">COUNTIFS(問題一覧!$D$5:$D$254,B79,問題一覧!$A$5:$A$254,"&gt;=2023")</f>
        <v>0</v>
      </c>
      <c r="G79" s="4" t="n">
        <f aca="false">_xlfn.MAXIFS(問題一覧!$A$5:$A$254,問題一覧!$D$5:$D$254,B79)</f>
        <v>2021</v>
      </c>
      <c r="H79" s="11" t="s">
        <v>245</v>
      </c>
      <c r="I79" s="5"/>
    </row>
    <row r="80" customFormat="false" ht="15" hidden="false" customHeight="false" outlineLevel="0" collapsed="false">
      <c r="A80" s="17" t="str">
        <f aca="false">IF(OR(D80&gt;=5,F80&gt;=3),"A",IF(OR(D80&gt;=3,F80&gt;=2),"B","C"))</f>
        <v>C</v>
      </c>
      <c r="B80" s="5" t="s">
        <v>110</v>
      </c>
      <c r="C80" s="11" t="s">
        <v>109</v>
      </c>
      <c r="D80" s="4" t="n">
        <f aca="false">COUNTIF(問題一覧!$D$5:$D$254,B80)</f>
        <v>1</v>
      </c>
      <c r="E80" s="4" t="n">
        <f aca="false">COUNTIFS(問題一覧!$D$5:$D$254,B80,問題一覧!$E$5:$E$254,"&gt;=0")</f>
        <v>0</v>
      </c>
      <c r="F80" s="4" t="n">
        <f aca="false">COUNTIFS(問題一覧!$D$5:$D$254,B80,問題一覧!$A$5:$A$254,"&gt;=2023")</f>
        <v>0</v>
      </c>
      <c r="G80" s="4" t="n">
        <f aca="false">_xlfn.MAXIFS(問題一覧!$A$5:$A$254,問題一覧!$D$5:$D$254,B80)</f>
        <v>2019</v>
      </c>
      <c r="H80" s="11" t="s">
        <v>244</v>
      </c>
      <c r="I80" s="5"/>
    </row>
    <row r="81" customFormat="false" ht="15" hidden="false" customHeight="false" outlineLevel="0" collapsed="false">
      <c r="A81" s="17" t="str">
        <f aca="false">IF(OR(D81&gt;=5,F81&gt;=3),"A",IF(OR(D81&gt;=3,F81&gt;=2),"B","C"))</f>
        <v>C</v>
      </c>
      <c r="B81" s="5" t="s">
        <v>112</v>
      </c>
      <c r="C81" s="11" t="s">
        <v>38</v>
      </c>
      <c r="D81" s="4" t="n">
        <f aca="false">COUNTIF(問題一覧!$D$5:$D$254,B81)</f>
        <v>1</v>
      </c>
      <c r="E81" s="4" t="n">
        <f aca="false">COUNTIFS(問題一覧!$D$5:$D$254,B81,問題一覧!$E$5:$E$254,"&gt;=0")</f>
        <v>0</v>
      </c>
      <c r="F81" s="4" t="n">
        <f aca="false">COUNTIFS(問題一覧!$D$5:$D$254,B81,問題一覧!$A$5:$A$254,"&gt;=2023")</f>
        <v>0</v>
      </c>
      <c r="G81" s="4" t="n">
        <f aca="false">_xlfn.MAXIFS(問題一覧!$A$5:$A$254,問題一覧!$D$5:$D$254,B81)</f>
        <v>2019</v>
      </c>
      <c r="H81" s="11" t="s">
        <v>244</v>
      </c>
      <c r="I81" s="5"/>
    </row>
    <row r="82" customFormat="false" ht="15" hidden="false" customHeight="false" outlineLevel="0" collapsed="false">
      <c r="A82" s="17" t="str">
        <f aca="false">IF(OR(D82&gt;=5,F82&gt;=3),"A",IF(OR(D82&gt;=3,F82&gt;=2),"B","C"))</f>
        <v>C</v>
      </c>
      <c r="B82" s="5" t="s">
        <v>114</v>
      </c>
      <c r="C82" s="11" t="s">
        <v>64</v>
      </c>
      <c r="D82" s="4" t="n">
        <f aca="false">COUNTIF(問題一覧!$D$5:$D$254,B82)</f>
        <v>1</v>
      </c>
      <c r="E82" s="4" t="n">
        <f aca="false">COUNTIFS(問題一覧!$D$5:$D$254,B82,問題一覧!$E$5:$E$254,"&gt;=0")</f>
        <v>0</v>
      </c>
      <c r="F82" s="4" t="n">
        <f aca="false">COUNTIFS(問題一覧!$D$5:$D$254,B82,問題一覧!$A$5:$A$254,"&gt;=2023")</f>
        <v>0</v>
      </c>
      <c r="G82" s="4" t="n">
        <f aca="false">_xlfn.MAXIFS(問題一覧!$A$5:$A$254,問題一覧!$D$5:$D$254,B82)</f>
        <v>2019</v>
      </c>
      <c r="H82" s="11" t="s">
        <v>244</v>
      </c>
      <c r="I82" s="5"/>
    </row>
    <row r="83" customFormat="false" ht="15" hidden="false" customHeight="false" outlineLevel="0" collapsed="false">
      <c r="A83" s="17" t="str">
        <f aca="false">IF(OR(D83&gt;=5,F83&gt;=3),"A",IF(OR(D83&gt;=3,F83&gt;=2),"B","C"))</f>
        <v>C</v>
      </c>
      <c r="B83" s="11" t="s">
        <v>100</v>
      </c>
      <c r="C83" s="11" t="s">
        <v>38</v>
      </c>
      <c r="D83" s="4" t="n">
        <f aca="false">COUNTIF(問題一覧!$D$5:$D$254,B83)</f>
        <v>1</v>
      </c>
      <c r="E83" s="4" t="n">
        <f aca="false">COUNTIFS(問題一覧!$D$5:$D$254,B83,問題一覧!$E$5:$E$254,"&gt;=0")</f>
        <v>0</v>
      </c>
      <c r="F83" s="4" t="n">
        <f aca="false">COUNTIFS(問題一覧!$D$5:$D$254,B83,問題一覧!$A$5:$A$254,"&gt;=2023")</f>
        <v>0</v>
      </c>
      <c r="G83" s="4" t="n">
        <f aca="false">_xlfn.MAXIFS(問題一覧!$A$5:$A$254,問題一覧!$D$5:$D$254,B83)</f>
        <v>2018</v>
      </c>
      <c r="H83" s="11" t="s">
        <v>243</v>
      </c>
      <c r="I83" s="5"/>
    </row>
    <row r="84" customFormat="false" ht="29.85" hidden="false" customHeight="false" outlineLevel="0" collapsed="false">
      <c r="A84" s="17" t="str">
        <f aca="false">IF(OR(D84&gt;=5,F84&gt;=3),"A",IF(OR(D84&gt;=3,F84&gt;=2),"B","C"))</f>
        <v>C</v>
      </c>
      <c r="B84" s="11" t="s">
        <v>101</v>
      </c>
      <c r="C84" s="11" t="s">
        <v>50</v>
      </c>
      <c r="D84" s="4" t="n">
        <f aca="false">COUNTIF(問題一覧!$D$5:$D$254,B84)</f>
        <v>1</v>
      </c>
      <c r="E84" s="4" t="n">
        <f aca="false">COUNTIFS(問題一覧!$D$5:$D$254,B84,問題一覧!$E$5:$E$254,"&gt;=0")</f>
        <v>0</v>
      </c>
      <c r="F84" s="4" t="n">
        <f aca="false">COUNTIFS(問題一覧!$D$5:$D$254,B84,問題一覧!$A$5:$A$254,"&gt;=2023")</f>
        <v>0</v>
      </c>
      <c r="G84" s="4" t="n">
        <f aca="false">_xlfn.MAXIFS(問題一覧!$A$5:$A$254,問題一覧!$D$5:$D$254,B84)</f>
        <v>2018</v>
      </c>
      <c r="H84" s="11" t="s">
        <v>243</v>
      </c>
      <c r="I84" s="5"/>
    </row>
    <row r="85" customFormat="false" ht="15" hidden="false" customHeight="false" outlineLevel="0" collapsed="false">
      <c r="A85" s="17" t="str">
        <f aca="false">IF(OR(D85&gt;=5,F85&gt;=3),"A",IF(OR(D85&gt;=3,F85&gt;=2),"B","C"))</f>
        <v>C</v>
      </c>
      <c r="B85" s="5" t="s">
        <v>105</v>
      </c>
      <c r="C85" s="11" t="s">
        <v>44</v>
      </c>
      <c r="D85" s="4" t="n">
        <f aca="false">COUNTIF(問題一覧!$D$5:$D$254,B85)</f>
        <v>1</v>
      </c>
      <c r="E85" s="4" t="n">
        <f aca="false">COUNTIFS(問題一覧!$D$5:$D$254,B85,問題一覧!$E$5:$E$254,"&gt;=0")</f>
        <v>0</v>
      </c>
      <c r="F85" s="4" t="n">
        <f aca="false">COUNTIFS(問題一覧!$D$5:$D$254,B85,問題一覧!$A$5:$A$254,"&gt;=2023")</f>
        <v>0</v>
      </c>
      <c r="G85" s="4" t="n">
        <f aca="false">_xlfn.MAXIFS(問題一覧!$A$5:$A$254,問題一覧!$D$5:$D$254,B85)</f>
        <v>2018</v>
      </c>
      <c r="H85" s="11" t="s">
        <v>243</v>
      </c>
      <c r="I85" s="5"/>
    </row>
    <row r="86" customFormat="false" ht="15" hidden="false" customHeight="false" outlineLevel="0" collapsed="false">
      <c r="A86" s="17" t="str">
        <f aca="false">IF(OR(D86&gt;=5,F86&gt;=3),"A",IF(OR(D86&gt;=3,F86&gt;=2),"B","C"))</f>
        <v>C</v>
      </c>
      <c r="B86" s="11" t="s">
        <v>88</v>
      </c>
      <c r="C86" s="11" t="s">
        <v>38</v>
      </c>
      <c r="D86" s="4" t="n">
        <f aca="false">COUNTIF(問題一覧!$D$5:$D$254,B86)</f>
        <v>1</v>
      </c>
      <c r="E86" s="4" t="n">
        <f aca="false">COUNTIFS(問題一覧!$D$5:$D$254,B86,問題一覧!$E$5:$E$254,"&gt;=0")</f>
        <v>0</v>
      </c>
      <c r="F86" s="4" t="n">
        <f aca="false">COUNTIFS(問題一覧!$D$5:$D$254,B86,問題一覧!$A$5:$A$254,"&gt;=2023")</f>
        <v>0</v>
      </c>
      <c r="G86" s="4" t="n">
        <f aca="false">_xlfn.MAXIFS(問題一覧!$A$5:$A$254,問題一覧!$D$5:$D$254,B86)</f>
        <v>2017</v>
      </c>
      <c r="H86" s="11" t="s">
        <v>242</v>
      </c>
      <c r="I86" s="5"/>
    </row>
    <row r="87" customFormat="false" ht="15" hidden="false" customHeight="false" outlineLevel="0" collapsed="false">
      <c r="A87" s="17" t="str">
        <f aca="false">IF(OR(D87&gt;=5,F87&gt;=3),"A",IF(OR(D87&gt;=3,F87&gt;=2),"B","C"))</f>
        <v>C</v>
      </c>
      <c r="B87" s="5" t="s">
        <v>95</v>
      </c>
      <c r="C87" s="11" t="s">
        <v>78</v>
      </c>
      <c r="D87" s="4" t="n">
        <f aca="false">COUNTIF(問題一覧!$D$5:$D$254,B87)</f>
        <v>1</v>
      </c>
      <c r="E87" s="4" t="n">
        <f aca="false">COUNTIFS(問題一覧!$D$5:$D$254,B87,問題一覧!$E$5:$E$254,"&gt;=0")</f>
        <v>0</v>
      </c>
      <c r="F87" s="4" t="n">
        <f aca="false">COUNTIFS(問題一覧!$D$5:$D$254,B87,問題一覧!$A$5:$A$254,"&gt;=2023")</f>
        <v>0</v>
      </c>
      <c r="G87" s="4" t="n">
        <f aca="false">_xlfn.MAXIFS(問題一覧!$A$5:$A$254,問題一覧!$D$5:$D$254,B87)</f>
        <v>2017</v>
      </c>
      <c r="H87" s="11" t="s">
        <v>242</v>
      </c>
      <c r="I87" s="5"/>
    </row>
    <row r="88" customFormat="false" ht="15" hidden="false" customHeight="false" outlineLevel="0" collapsed="false">
      <c r="A88" s="17" t="str">
        <f aca="false">IF(OR(D88&gt;=5,F88&gt;=3),"A",IF(OR(D88&gt;=3,F88&gt;=2),"B","C"))</f>
        <v>C</v>
      </c>
      <c r="B88" s="5" t="s">
        <v>73</v>
      </c>
      <c r="C88" s="11" t="s">
        <v>38</v>
      </c>
      <c r="D88" s="4" t="n">
        <f aca="false">COUNTIF(問題一覧!$D$5:$D$254,B88)</f>
        <v>1</v>
      </c>
      <c r="E88" s="4" t="n">
        <f aca="false">COUNTIFS(問題一覧!$D$5:$D$254,B88,問題一覧!$E$5:$E$254,"&gt;=0")</f>
        <v>0</v>
      </c>
      <c r="F88" s="4" t="n">
        <f aca="false">COUNTIFS(問題一覧!$D$5:$D$254,B88,問題一覧!$A$5:$A$254,"&gt;=2023")</f>
        <v>0</v>
      </c>
      <c r="G88" s="4" t="n">
        <f aca="false">_xlfn.MAXIFS(問題一覧!$A$5:$A$254,問題一覧!$D$5:$D$254,B88)</f>
        <v>2016</v>
      </c>
      <c r="H88" s="11" t="s">
        <v>241</v>
      </c>
      <c r="I88" s="5"/>
    </row>
    <row r="89" customFormat="false" ht="15" hidden="false" customHeight="false" outlineLevel="0" collapsed="false">
      <c r="A89" s="17" t="str">
        <f aca="false">IF(OR(D89&gt;=5,F89&gt;=3),"A",IF(OR(D89&gt;=3,F89&gt;=2),"B","C"))</f>
        <v>C</v>
      </c>
      <c r="B89" s="5" t="s">
        <v>75</v>
      </c>
      <c r="C89" s="11" t="s">
        <v>38</v>
      </c>
      <c r="D89" s="4" t="n">
        <f aca="false">COUNTIF(問題一覧!$D$5:$D$254,B89)</f>
        <v>1</v>
      </c>
      <c r="E89" s="4" t="n">
        <f aca="false">COUNTIFS(問題一覧!$D$5:$D$254,B89,問題一覧!$E$5:$E$254,"&gt;=0")</f>
        <v>0</v>
      </c>
      <c r="F89" s="4" t="n">
        <f aca="false">COUNTIFS(問題一覧!$D$5:$D$254,B89,問題一覧!$A$5:$A$254,"&gt;=2023")</f>
        <v>0</v>
      </c>
      <c r="G89" s="4" t="n">
        <f aca="false">_xlfn.MAXIFS(問題一覧!$A$5:$A$254,問題一覧!$D$5:$D$254,B89)</f>
        <v>2016</v>
      </c>
      <c r="H89" s="11" t="s">
        <v>241</v>
      </c>
      <c r="I89" s="5"/>
    </row>
    <row r="90" customFormat="false" ht="15" hidden="false" customHeight="false" outlineLevel="0" collapsed="false">
      <c r="A90" s="17" t="str">
        <f aca="false">IF(OR(D90&gt;=5,F90&gt;=3),"A",IF(OR(D90&gt;=3,F90&gt;=2),"B","C"))</f>
        <v>C</v>
      </c>
      <c r="B90" s="5" t="s">
        <v>77</v>
      </c>
      <c r="C90" s="11" t="s">
        <v>52</v>
      </c>
      <c r="D90" s="4" t="n">
        <f aca="false">COUNTIF(問題一覧!$D$5:$D$254,B90)</f>
        <v>1</v>
      </c>
      <c r="E90" s="4" t="n">
        <f aca="false">COUNTIFS(問題一覧!$D$5:$D$254,B90,問題一覧!$E$5:$E$254,"&gt;=0")</f>
        <v>0</v>
      </c>
      <c r="F90" s="4" t="n">
        <f aca="false">COUNTIFS(問題一覧!$D$5:$D$254,B90,問題一覧!$A$5:$A$254,"&gt;=2023")</f>
        <v>0</v>
      </c>
      <c r="G90" s="4" t="n">
        <f aca="false">_xlfn.MAXIFS(問題一覧!$A$5:$A$254,問題一覧!$D$5:$D$254,B90)</f>
        <v>2016</v>
      </c>
      <c r="H90" s="11" t="s">
        <v>241</v>
      </c>
      <c r="I90" s="5"/>
    </row>
    <row r="91" customFormat="false" ht="15" hidden="false" customHeight="false" outlineLevel="0" collapsed="false">
      <c r="A91" s="17" t="str">
        <f aca="false">IF(OR(D91&gt;=5,F91&gt;=3),"A",IF(OR(D91&gt;=3,F91&gt;=2),"B","C"))</f>
        <v>C</v>
      </c>
      <c r="B91" s="11" t="s">
        <v>79</v>
      </c>
      <c r="C91" s="11" t="s">
        <v>78</v>
      </c>
      <c r="D91" s="4" t="n">
        <f aca="false">COUNTIF(問題一覧!$D$5:$D$254,B91)</f>
        <v>1</v>
      </c>
      <c r="E91" s="4" t="n">
        <f aca="false">COUNTIFS(問題一覧!$D$5:$D$254,B91,問題一覧!$E$5:$E$254,"&gt;=0")</f>
        <v>0</v>
      </c>
      <c r="F91" s="4" t="n">
        <f aca="false">COUNTIFS(問題一覧!$D$5:$D$254,B91,問題一覧!$A$5:$A$254,"&gt;=2023")</f>
        <v>0</v>
      </c>
      <c r="G91" s="4" t="n">
        <f aca="false">_xlfn.MAXIFS(問題一覧!$A$5:$A$254,問題一覧!$D$5:$D$254,B91)</f>
        <v>2016</v>
      </c>
      <c r="H91" s="11" t="s">
        <v>241</v>
      </c>
      <c r="I91" s="5"/>
    </row>
    <row r="92" customFormat="false" ht="15" hidden="false" customHeight="false" outlineLevel="0" collapsed="false">
      <c r="A92" s="17" t="str">
        <f aca="false">IF(OR(D92&gt;=5,F92&gt;=3),"A",IF(OR(D92&gt;=3,F92&gt;=2),"B","C"))</f>
        <v>C</v>
      </c>
      <c r="B92" s="5" t="s">
        <v>81</v>
      </c>
      <c r="C92" s="11" t="s">
        <v>44</v>
      </c>
      <c r="D92" s="4" t="n">
        <f aca="false">COUNTIF(問題一覧!$D$5:$D$254,B92)</f>
        <v>1</v>
      </c>
      <c r="E92" s="4" t="n">
        <f aca="false">COUNTIFS(問題一覧!$D$5:$D$254,B92,問題一覧!$E$5:$E$254,"&gt;=0")</f>
        <v>0</v>
      </c>
      <c r="F92" s="4" t="n">
        <f aca="false">COUNTIFS(問題一覧!$D$5:$D$254,B92,問題一覧!$A$5:$A$254,"&gt;=2023")</f>
        <v>0</v>
      </c>
      <c r="G92" s="4" t="n">
        <f aca="false">_xlfn.MAXIFS(問題一覧!$A$5:$A$254,問題一覧!$D$5:$D$254,B92)</f>
        <v>2016</v>
      </c>
      <c r="H92" s="11" t="s">
        <v>241</v>
      </c>
      <c r="I92" s="5"/>
    </row>
    <row r="93" customFormat="false" ht="15" hidden="false" customHeight="false" outlineLevel="0" collapsed="false">
      <c r="A93" s="17" t="str">
        <f aca="false">IF(OR(D93&gt;=5,F93&gt;=3),"A",IF(OR(D93&gt;=3,F93&gt;=2),"B","C"))</f>
        <v>C</v>
      </c>
      <c r="B93" s="11" t="s">
        <v>53</v>
      </c>
      <c r="C93" s="11" t="s">
        <v>52</v>
      </c>
      <c r="D93" s="4" t="n">
        <f aca="false">COUNTIF(問題一覧!$D$5:$D$254,B93)</f>
        <v>1</v>
      </c>
      <c r="E93" s="4" t="n">
        <f aca="false">COUNTIFS(問題一覧!$D$5:$D$254,B93,問題一覧!$E$5:$E$254,"&gt;=0")</f>
        <v>0</v>
      </c>
      <c r="F93" s="4" t="n">
        <f aca="false">COUNTIFS(問題一覧!$D$5:$D$254,B93,問題一覧!$A$5:$A$254,"&gt;=2023")</f>
        <v>0</v>
      </c>
      <c r="G93" s="4" t="n">
        <f aca="false">_xlfn.MAXIFS(問題一覧!$A$5:$A$254,問題一覧!$D$5:$D$254,B93)</f>
        <v>2015</v>
      </c>
      <c r="H93" s="11" t="s">
        <v>240</v>
      </c>
      <c r="I93" s="5"/>
    </row>
    <row r="94" customFormat="false" ht="15" hidden="false" customHeight="false" outlineLevel="0" collapsed="false">
      <c r="A94" s="17" t="str">
        <f aca="false">IF(OR(D94&gt;=5,F94&gt;=3),"A",IF(OR(D94&gt;=3,F94&gt;=2),"B","C"))</f>
        <v>C</v>
      </c>
      <c r="B94" s="11" t="s">
        <v>55</v>
      </c>
      <c r="C94" s="11" t="s">
        <v>44</v>
      </c>
      <c r="D94" s="4" t="n">
        <f aca="false">COUNTIF(問題一覧!$D$5:$D$254,B94)</f>
        <v>1</v>
      </c>
      <c r="E94" s="4" t="n">
        <f aca="false">COUNTIFS(問題一覧!$D$5:$D$254,B94,問題一覧!$E$5:$E$254,"&gt;=0")</f>
        <v>0</v>
      </c>
      <c r="F94" s="4" t="n">
        <f aca="false">COUNTIFS(問題一覧!$D$5:$D$254,B94,問題一覧!$A$5:$A$254,"&gt;=2023")</f>
        <v>0</v>
      </c>
      <c r="G94" s="4" t="n">
        <f aca="false">_xlfn.MAXIFS(問題一覧!$A$5:$A$254,問題一覧!$D$5:$D$254,B94)</f>
        <v>2015</v>
      </c>
      <c r="H94" s="11" t="s">
        <v>240</v>
      </c>
      <c r="I94" s="5"/>
    </row>
    <row r="95" customFormat="false" ht="15" hidden="false" customHeight="false" outlineLevel="0" collapsed="false">
      <c r="A95" s="17" t="str">
        <f aca="false">IF(OR(D95&gt;=5,F95&gt;=3),"A",IF(OR(D95&gt;=3,F95&gt;=2),"B","C"))</f>
        <v>C</v>
      </c>
      <c r="B95" s="11" t="s">
        <v>61</v>
      </c>
      <c r="C95" s="11" t="s">
        <v>60</v>
      </c>
      <c r="D95" s="4" t="n">
        <f aca="false">COUNTIF(問題一覧!$D$5:$D$254,B95)</f>
        <v>1</v>
      </c>
      <c r="E95" s="4" t="n">
        <f aca="false">COUNTIFS(問題一覧!$D$5:$D$254,B95,問題一覧!$E$5:$E$254,"&gt;=0")</f>
        <v>0</v>
      </c>
      <c r="F95" s="4" t="n">
        <f aca="false">COUNTIFS(問題一覧!$D$5:$D$254,B95,問題一覧!$A$5:$A$254,"&gt;=2023")</f>
        <v>0</v>
      </c>
      <c r="G95" s="4" t="n">
        <f aca="false">_xlfn.MAXIFS(問題一覧!$A$5:$A$254,問題一覧!$D$5:$D$254,B95)</f>
        <v>2015</v>
      </c>
      <c r="H95" s="11" t="s">
        <v>240</v>
      </c>
      <c r="I95" s="5"/>
    </row>
  </sheetData>
  <autoFilter ref="A4:I95"/>
  <mergeCells count="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4" min="3" style="0" width="20"/>
    <col collapsed="false" customWidth="true" hidden="false" outlineLevel="0" max="6" min="5" style="0" width="8"/>
  </cols>
  <sheetData>
    <row r="1" customFormat="false" ht="17.35" hidden="false" customHeight="false" outlineLevel="0" collapsed="false">
      <c r="A1" s="1" t="s">
        <v>359</v>
      </c>
    </row>
    <row r="2" customFormat="false" ht="15" hidden="false" customHeight="false" outlineLevel="0" collapsed="false">
      <c r="A2" s="2" t="s">
        <v>360</v>
      </c>
    </row>
    <row r="4" customFormat="false" ht="15" hidden="false" customHeight="false" outlineLevel="0" collapsed="false">
      <c r="A4" s="3" t="s">
        <v>33</v>
      </c>
      <c r="B4" s="3" t="s">
        <v>361</v>
      </c>
      <c r="C4" s="3" t="s">
        <v>362</v>
      </c>
      <c r="D4" s="3" t="s">
        <v>363</v>
      </c>
      <c r="E4" s="3" t="s">
        <v>364</v>
      </c>
      <c r="F4" s="3" t="s">
        <v>250</v>
      </c>
    </row>
    <row r="5" customFormat="false" ht="15" hidden="false" customHeight="false" outlineLevel="0" collapsed="false">
      <c r="A5" s="4" t="n">
        <v>2015</v>
      </c>
      <c r="B5" s="4" t="n">
        <v>0</v>
      </c>
      <c r="C5" s="4" t="n">
        <v>10</v>
      </c>
      <c r="D5" s="4" t="n">
        <v>12</v>
      </c>
      <c r="E5" s="4" t="n">
        <v>3</v>
      </c>
      <c r="F5" s="4" t="n">
        <f aca="false">SUM(B5:E5)</f>
        <v>25</v>
      </c>
    </row>
    <row r="6" customFormat="false" ht="15" hidden="false" customHeight="false" outlineLevel="0" collapsed="false">
      <c r="A6" s="4" t="n">
        <v>2016</v>
      </c>
      <c r="B6" s="4" t="n">
        <v>0</v>
      </c>
      <c r="C6" s="4" t="n">
        <v>3</v>
      </c>
      <c r="D6" s="4" t="n">
        <v>18</v>
      </c>
      <c r="E6" s="4" t="n">
        <v>4</v>
      </c>
      <c r="F6" s="4" t="n">
        <f aca="false">SUM(B6:E6)</f>
        <v>25</v>
      </c>
    </row>
    <row r="7" customFormat="false" ht="15" hidden="false" customHeight="false" outlineLevel="0" collapsed="false">
      <c r="A7" s="4" t="n">
        <v>2017</v>
      </c>
      <c r="B7" s="4" t="n">
        <v>2</v>
      </c>
      <c r="C7" s="4" t="n">
        <v>11</v>
      </c>
      <c r="D7" s="4" t="n">
        <v>10</v>
      </c>
      <c r="E7" s="4" t="n">
        <v>2</v>
      </c>
      <c r="F7" s="4" t="n">
        <f aca="false">SUM(B7:E7)</f>
        <v>25</v>
      </c>
    </row>
    <row r="8" customFormat="false" ht="15" hidden="false" customHeight="false" outlineLevel="0" collapsed="false">
      <c r="A8" s="4" t="n">
        <v>2018</v>
      </c>
      <c r="B8" s="4" t="n">
        <v>3</v>
      </c>
      <c r="C8" s="4" t="n">
        <v>5</v>
      </c>
      <c r="D8" s="4" t="n">
        <v>14</v>
      </c>
      <c r="E8" s="4" t="n">
        <v>3</v>
      </c>
      <c r="F8" s="4" t="n">
        <f aca="false">SUM(B8:E8)</f>
        <v>25</v>
      </c>
    </row>
    <row r="9" customFormat="false" ht="15" hidden="false" customHeight="false" outlineLevel="0" collapsed="false">
      <c r="A9" s="4" t="n">
        <v>2019</v>
      </c>
      <c r="B9" s="4" t="n">
        <v>5</v>
      </c>
      <c r="C9" s="4" t="n">
        <v>6</v>
      </c>
      <c r="D9" s="4" t="n">
        <v>11</v>
      </c>
      <c r="E9" s="4" t="n">
        <v>3</v>
      </c>
      <c r="F9" s="4" t="n">
        <f aca="false">SUM(B9:E9)</f>
        <v>25</v>
      </c>
    </row>
    <row r="10" customFormat="false" ht="15" hidden="false" customHeight="false" outlineLevel="0" collapsed="false">
      <c r="A10" s="4" t="n">
        <v>2021</v>
      </c>
      <c r="B10" s="4" t="n">
        <v>6</v>
      </c>
      <c r="C10" s="4" t="n">
        <v>4</v>
      </c>
      <c r="D10" s="4" t="n">
        <v>11</v>
      </c>
      <c r="E10" s="4" t="n">
        <v>4</v>
      </c>
      <c r="F10" s="4" t="n">
        <f aca="false">SUM(B10:E10)</f>
        <v>25</v>
      </c>
    </row>
    <row r="11" customFormat="false" ht="15" hidden="false" customHeight="false" outlineLevel="0" collapsed="false">
      <c r="A11" s="4" t="n">
        <v>2022</v>
      </c>
      <c r="B11" s="4" t="n">
        <v>5</v>
      </c>
      <c r="C11" s="4" t="n">
        <v>5</v>
      </c>
      <c r="D11" s="4" t="n">
        <v>13</v>
      </c>
      <c r="E11" s="4" t="n">
        <v>2</v>
      </c>
      <c r="F11" s="4" t="n">
        <f aca="false">SUM(B11:E11)</f>
        <v>25</v>
      </c>
    </row>
    <row r="12" customFormat="false" ht="15" hidden="false" customHeight="false" outlineLevel="0" collapsed="false">
      <c r="A12" s="4" t="n">
        <v>2023</v>
      </c>
      <c r="B12" s="4" t="n">
        <v>11</v>
      </c>
      <c r="C12" s="4" t="n">
        <v>1</v>
      </c>
      <c r="D12" s="4" t="n">
        <v>12</v>
      </c>
      <c r="E12" s="4" t="n">
        <v>1</v>
      </c>
      <c r="F12" s="4" t="n">
        <f aca="false">SUM(B12:E12)</f>
        <v>25</v>
      </c>
    </row>
    <row r="13" customFormat="false" ht="15" hidden="false" customHeight="false" outlineLevel="0" collapsed="false">
      <c r="A13" s="4" t="n">
        <v>2024</v>
      </c>
      <c r="B13" s="4" t="n">
        <v>10</v>
      </c>
      <c r="C13" s="4" t="n">
        <v>0</v>
      </c>
      <c r="D13" s="4" t="n">
        <v>13</v>
      </c>
      <c r="E13" s="4" t="n">
        <v>2</v>
      </c>
      <c r="F13" s="4" t="n">
        <f aca="false">SUM(B13:E13)</f>
        <v>25</v>
      </c>
    </row>
    <row r="14" customFormat="false" ht="15" hidden="false" customHeight="false" outlineLevel="0" collapsed="false">
      <c r="A14" s="4" t="n">
        <v>2025</v>
      </c>
      <c r="B14" s="4" t="n">
        <v>9</v>
      </c>
      <c r="C14" s="4" t="n">
        <v>0</v>
      </c>
      <c r="D14" s="4" t="n">
        <v>9</v>
      </c>
      <c r="E14" s="4" t="n">
        <v>7</v>
      </c>
      <c r="F14" s="4" t="n">
        <f aca="false">SUM(B14:E14)</f>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
  </cols>
  <sheetData>
    <row r="1" customFormat="false" ht="17.35" hidden="false" customHeight="false" outlineLevel="0" collapsed="false">
      <c r="A1" s="1" t="s">
        <v>365</v>
      </c>
    </row>
    <row r="2" customFormat="false" ht="15" hidden="false" customHeight="false" outlineLevel="0" collapsed="false">
      <c r="A2" s="2" t="s">
        <v>366</v>
      </c>
    </row>
    <row r="4" customFormat="false" ht="15" hidden="false" customHeight="false" outlineLevel="0" collapsed="false">
      <c r="A4" s="3" t="s">
        <v>367</v>
      </c>
      <c r="B4" s="3" t="s">
        <v>368</v>
      </c>
    </row>
    <row r="5" customFormat="false" ht="15" hidden="false" customHeight="false" outlineLevel="0" collapsed="false">
      <c r="A5" s="4" t="n">
        <v>1</v>
      </c>
      <c r="B5" s="4" t="n">
        <v>0</v>
      </c>
    </row>
    <row r="6" customFormat="false" ht="15" hidden="false" customHeight="false" outlineLevel="0" collapsed="false">
      <c r="A6" s="4" t="n">
        <v>2</v>
      </c>
      <c r="B6" s="4" t="n">
        <v>20</v>
      </c>
    </row>
    <row r="7" customFormat="false" ht="15" hidden="false" customHeight="false" outlineLevel="0" collapsed="false">
      <c r="A7" s="4" t="n">
        <v>3</v>
      </c>
      <c r="B7" s="4" t="n">
        <v>11</v>
      </c>
    </row>
    <row r="8" customFormat="false" ht="15" hidden="false" customHeight="false" outlineLevel="0" collapsed="false">
      <c r="A8" s="4" t="n">
        <v>4</v>
      </c>
      <c r="B8" s="4" t="n">
        <v>8</v>
      </c>
    </row>
    <row r="9" customFormat="false" ht="15" hidden="false" customHeight="false" outlineLevel="0" collapsed="false">
      <c r="A9" s="4" t="n">
        <v>5</v>
      </c>
      <c r="B9" s="4" t="n">
        <v>4</v>
      </c>
    </row>
    <row r="10" customFormat="false" ht="15" hidden="false" customHeight="false" outlineLevel="0" collapsed="false">
      <c r="A10" s="4" t="n">
        <v>6</v>
      </c>
      <c r="B10" s="4" t="n">
        <v>3</v>
      </c>
    </row>
    <row r="11" customFormat="false" ht="15" hidden="false" customHeight="false" outlineLevel="0" collapsed="false">
      <c r="A11" s="4" t="n">
        <v>7</v>
      </c>
      <c r="B11" s="4" t="n">
        <v>0</v>
      </c>
    </row>
    <row r="12" customFormat="false" ht="15" hidden="false" customHeight="false" outlineLevel="0" collapsed="false">
      <c r="A12" s="4" t="n">
        <v>8</v>
      </c>
      <c r="B12" s="4" t="n">
        <v>2</v>
      </c>
    </row>
    <row r="13" customFormat="false" ht="15" hidden="false" customHeight="false" outlineLevel="0" collapsed="false">
      <c r="A13" s="4" t="n">
        <v>9</v>
      </c>
      <c r="B13" s="4" t="n">
        <v>3</v>
      </c>
    </row>
    <row r="14" customFormat="false" ht="15" hidden="false" customHeight="false" outlineLevel="0" collapsed="false">
      <c r="A14" s="18" t="s">
        <v>250</v>
      </c>
      <c r="B14" s="18" t="n">
        <f aca="false">SUM(B5:B13)</f>
        <v>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11" min="2" style="0" width="7"/>
  </cols>
  <sheetData>
    <row r="1" customFormat="false" ht="21.6" hidden="false" customHeight="false" outlineLevel="0" collapsed="false">
      <c r="A1" s="19" t="s">
        <v>369</v>
      </c>
    </row>
    <row r="2" customFormat="false" ht="15" hidden="false" customHeight="false" outlineLevel="0" collapsed="false">
      <c r="A2" s="2" t="s">
        <v>370</v>
      </c>
    </row>
    <row r="4" customFormat="false" ht="15" hidden="false" customHeight="false" outlineLevel="0" collapsed="false">
      <c r="A4" s="3" t="s">
        <v>33</v>
      </c>
      <c r="B4" s="12" t="s">
        <v>240</v>
      </c>
      <c r="C4" s="12" t="s">
        <v>241</v>
      </c>
      <c r="D4" s="12" t="s">
        <v>242</v>
      </c>
      <c r="E4" s="12" t="s">
        <v>243</v>
      </c>
      <c r="F4" s="12" t="s">
        <v>244</v>
      </c>
      <c r="G4" s="12" t="s">
        <v>245</v>
      </c>
      <c r="H4" s="12" t="s">
        <v>246</v>
      </c>
      <c r="I4" s="12" t="s">
        <v>247</v>
      </c>
      <c r="J4" s="12" t="s">
        <v>248</v>
      </c>
      <c r="K4" s="12" t="s">
        <v>249</v>
      </c>
    </row>
    <row r="5" customFormat="false" ht="15" hidden="false" customHeight="false" outlineLevel="0" collapsed="false">
      <c r="A5" s="4" t="n">
        <v>2015</v>
      </c>
      <c r="B5" s="14"/>
      <c r="C5" s="14" t="n">
        <v>0</v>
      </c>
      <c r="D5" s="14" t="n">
        <v>2</v>
      </c>
      <c r="E5" s="14" t="n">
        <v>2</v>
      </c>
      <c r="F5" s="14" t="n">
        <v>0</v>
      </c>
      <c r="G5" s="14" t="n">
        <v>1</v>
      </c>
      <c r="H5" s="14" t="n">
        <v>1</v>
      </c>
      <c r="I5" s="14" t="n">
        <v>1</v>
      </c>
      <c r="J5" s="14" t="n">
        <v>1</v>
      </c>
      <c r="K5" s="14" t="n">
        <v>3</v>
      </c>
    </row>
    <row r="6" customFormat="false" ht="15" hidden="false" customHeight="false" outlineLevel="0" collapsed="false">
      <c r="A6" s="4" t="n">
        <v>2016</v>
      </c>
      <c r="B6" s="14" t="n">
        <v>0</v>
      </c>
      <c r="C6" s="14"/>
      <c r="D6" s="14" t="n">
        <v>0</v>
      </c>
      <c r="E6" s="14" t="n">
        <v>1</v>
      </c>
      <c r="F6" s="14" t="n">
        <v>1</v>
      </c>
      <c r="G6" s="14" t="n">
        <v>0</v>
      </c>
      <c r="H6" s="14" t="n">
        <v>0</v>
      </c>
      <c r="I6" s="14" t="n">
        <v>0</v>
      </c>
      <c r="J6" s="14" t="n">
        <v>0</v>
      </c>
      <c r="K6" s="14" t="n">
        <v>1</v>
      </c>
    </row>
    <row r="7" customFormat="false" ht="15" hidden="false" customHeight="false" outlineLevel="0" collapsed="false">
      <c r="A7" s="4" t="n">
        <v>2017</v>
      </c>
      <c r="B7" s="14" t="n">
        <v>2</v>
      </c>
      <c r="C7" s="14" t="n">
        <v>0</v>
      </c>
      <c r="D7" s="14"/>
      <c r="E7" s="14" t="n">
        <v>0</v>
      </c>
      <c r="F7" s="14" t="n">
        <v>4</v>
      </c>
      <c r="G7" s="14" t="n">
        <v>2</v>
      </c>
      <c r="H7" s="14" t="n">
        <v>3</v>
      </c>
      <c r="I7" s="14" t="n">
        <v>3</v>
      </c>
      <c r="J7" s="14" t="n">
        <v>3</v>
      </c>
      <c r="K7" s="14" t="n">
        <v>1</v>
      </c>
    </row>
    <row r="8" customFormat="false" ht="15" hidden="false" customHeight="false" outlineLevel="0" collapsed="false">
      <c r="A8" s="4" t="n">
        <v>2018</v>
      </c>
      <c r="B8" s="14" t="n">
        <v>2</v>
      </c>
      <c r="C8" s="14" t="n">
        <v>1</v>
      </c>
      <c r="D8" s="14" t="n">
        <v>0</v>
      </c>
      <c r="E8" s="14"/>
      <c r="F8" s="14" t="n">
        <v>0</v>
      </c>
      <c r="G8" s="14" t="n">
        <v>3</v>
      </c>
      <c r="H8" s="14" t="n">
        <v>0</v>
      </c>
      <c r="I8" s="14" t="n">
        <v>3</v>
      </c>
      <c r="J8" s="14" t="n">
        <v>0</v>
      </c>
      <c r="K8" s="14" t="n">
        <v>0</v>
      </c>
    </row>
    <row r="9" customFormat="false" ht="15" hidden="false" customHeight="false" outlineLevel="0" collapsed="false">
      <c r="A9" s="4" t="n">
        <v>2019</v>
      </c>
      <c r="B9" s="14" t="n">
        <v>0</v>
      </c>
      <c r="C9" s="14" t="n">
        <v>1</v>
      </c>
      <c r="D9" s="14" t="n">
        <v>4</v>
      </c>
      <c r="E9" s="14" t="n">
        <v>0</v>
      </c>
      <c r="F9" s="14"/>
      <c r="G9" s="14" t="n">
        <v>0</v>
      </c>
      <c r="H9" s="14" t="n">
        <v>3</v>
      </c>
      <c r="I9" s="14" t="n">
        <v>4</v>
      </c>
      <c r="J9" s="14" t="n">
        <v>2</v>
      </c>
      <c r="K9" s="14" t="n">
        <v>0</v>
      </c>
    </row>
    <row r="10" customFormat="false" ht="15" hidden="false" customHeight="false" outlineLevel="0" collapsed="false">
      <c r="A10" s="4" t="n">
        <v>2021</v>
      </c>
      <c r="B10" s="14" t="n">
        <v>1</v>
      </c>
      <c r="C10" s="14" t="n">
        <v>0</v>
      </c>
      <c r="D10" s="14" t="n">
        <v>2</v>
      </c>
      <c r="E10" s="14" t="n">
        <v>3</v>
      </c>
      <c r="F10" s="14" t="n">
        <v>0</v>
      </c>
      <c r="G10" s="14"/>
      <c r="H10" s="14" t="n">
        <v>0</v>
      </c>
      <c r="I10" s="14" t="n">
        <v>2</v>
      </c>
      <c r="J10" s="14" t="n">
        <v>1</v>
      </c>
      <c r="K10" s="14" t="n">
        <v>3</v>
      </c>
    </row>
    <row r="11" customFormat="false" ht="15" hidden="false" customHeight="false" outlineLevel="0" collapsed="false">
      <c r="A11" s="4" t="n">
        <v>2022</v>
      </c>
      <c r="B11" s="14" t="n">
        <v>1</v>
      </c>
      <c r="C11" s="14" t="n">
        <v>0</v>
      </c>
      <c r="D11" s="14" t="n">
        <v>3</v>
      </c>
      <c r="E11" s="14" t="n">
        <v>0</v>
      </c>
      <c r="F11" s="14" t="n">
        <v>3</v>
      </c>
      <c r="G11" s="14" t="n">
        <v>0</v>
      </c>
      <c r="H11" s="14"/>
      <c r="I11" s="14" t="n">
        <v>0</v>
      </c>
      <c r="J11" s="14" t="n">
        <v>4</v>
      </c>
      <c r="K11" s="14" t="n">
        <v>1</v>
      </c>
    </row>
    <row r="12" customFormat="false" ht="15" hidden="false" customHeight="false" outlineLevel="0" collapsed="false">
      <c r="A12" s="4" t="n">
        <v>2023</v>
      </c>
      <c r="B12" s="14" t="n">
        <v>1</v>
      </c>
      <c r="C12" s="14" t="n">
        <v>0</v>
      </c>
      <c r="D12" s="14" t="n">
        <v>3</v>
      </c>
      <c r="E12" s="14" t="n">
        <v>3</v>
      </c>
      <c r="F12" s="14" t="n">
        <v>4</v>
      </c>
      <c r="G12" s="14" t="n">
        <v>2</v>
      </c>
      <c r="H12" s="14" t="n">
        <v>0</v>
      </c>
      <c r="I12" s="14"/>
      <c r="J12" s="14" t="n">
        <v>0</v>
      </c>
      <c r="K12" s="14" t="n">
        <v>1</v>
      </c>
    </row>
    <row r="13" customFormat="false" ht="15" hidden="false" customHeight="false" outlineLevel="0" collapsed="false">
      <c r="A13" s="4" t="n">
        <v>2024</v>
      </c>
      <c r="B13" s="14" t="n">
        <v>1</v>
      </c>
      <c r="C13" s="14" t="n">
        <v>0</v>
      </c>
      <c r="D13" s="14" t="n">
        <v>3</v>
      </c>
      <c r="E13" s="14" t="n">
        <v>0</v>
      </c>
      <c r="F13" s="14" t="n">
        <v>2</v>
      </c>
      <c r="G13" s="14" t="n">
        <v>1</v>
      </c>
      <c r="H13" s="14" t="n">
        <v>4</v>
      </c>
      <c r="I13" s="14" t="n">
        <v>0</v>
      </c>
      <c r="J13" s="14"/>
      <c r="K13" s="14" t="n">
        <v>0</v>
      </c>
    </row>
    <row r="14" customFormat="false" ht="15" hidden="false" customHeight="false" outlineLevel="0" collapsed="false">
      <c r="A14" s="4" t="n">
        <v>2025</v>
      </c>
      <c r="B14" s="14" t="n">
        <v>3</v>
      </c>
      <c r="C14" s="14" t="n">
        <v>1</v>
      </c>
      <c r="D14" s="14" t="n">
        <v>1</v>
      </c>
      <c r="E14" s="14" t="n">
        <v>0</v>
      </c>
      <c r="F14" s="14" t="n">
        <v>0</v>
      </c>
      <c r="G14" s="14" t="n">
        <v>3</v>
      </c>
      <c r="H14" s="14" t="n">
        <v>1</v>
      </c>
      <c r="I14" s="14" t="n">
        <v>1</v>
      </c>
      <c r="J14" s="14" t="n">
        <v>0</v>
      </c>
      <c r="K14"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20"/>
  </cols>
  <sheetData>
    <row r="1" customFormat="false" ht="21.6" hidden="false" customHeight="false" outlineLevel="0" collapsed="false">
      <c r="A1" s="1" t="s">
        <v>371</v>
      </c>
    </row>
    <row r="2" customFormat="false" ht="15" hidden="false" customHeight="false" outlineLevel="0" collapsed="false">
      <c r="A2" s="20" t="s">
        <v>372</v>
      </c>
    </row>
    <row r="4" customFormat="false" ht="15" hidden="false" customHeight="false" outlineLevel="0" collapsed="false">
      <c r="A4" s="3" t="s">
        <v>373</v>
      </c>
      <c r="B4" s="3" t="s">
        <v>374</v>
      </c>
      <c r="C4" s="3" t="s">
        <v>375</v>
      </c>
    </row>
    <row r="5" customFormat="false" ht="15" hidden="false" customHeight="false" outlineLevel="0" collapsed="false">
      <c r="A5" s="4" t="n">
        <v>1</v>
      </c>
      <c r="B5" s="15" t="n">
        <v>0</v>
      </c>
      <c r="C5" s="15" t="n">
        <v>6</v>
      </c>
    </row>
    <row r="6" customFormat="false" ht="15" hidden="false" customHeight="false" outlineLevel="0" collapsed="false">
      <c r="A6" s="4" t="n">
        <v>2</v>
      </c>
      <c r="B6" s="15" t="n">
        <v>2.6</v>
      </c>
      <c r="C6" s="15" t="n">
        <v>12.8</v>
      </c>
    </row>
    <row r="7" customFormat="false" ht="15" hidden="false" customHeight="false" outlineLevel="0" collapsed="false">
      <c r="A7" s="4" t="n">
        <v>3</v>
      </c>
      <c r="B7" s="15" t="n">
        <v>4.2</v>
      </c>
      <c r="C7" s="15" t="n">
        <v>15.8</v>
      </c>
    </row>
    <row r="8" customFormat="false" ht="15" hidden="false" customHeight="false" outlineLevel="0" collapsed="false">
      <c r="A8" s="4" t="n">
        <v>4</v>
      </c>
      <c r="B8" s="15" t="n">
        <v>5.8</v>
      </c>
      <c r="C8" s="15" t="n">
        <v>17</v>
      </c>
    </row>
    <row r="9" customFormat="false" ht="15" hidden="false" customHeight="false" outlineLevel="0" collapsed="false">
      <c r="A9" s="4" t="n">
        <v>5</v>
      </c>
      <c r="B9" s="15" t="n">
        <v>6.6</v>
      </c>
      <c r="C9" s="15" t="n">
        <v>18.2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2026-10-22T12:52:10Z</dcterms:created>
  <dc:creator>openpyxl</dc:creator>
  <dc:description/>
  <dc:language>en-US</dc:language>
  <cp:lastModifiedBy/>
  <dcterms:modified xsi:type="dcterms:W3CDTF">2026-10-22T12:52:10Z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